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mc:AlternateContent xmlns:mc="http://schemas.openxmlformats.org/markup-compatibility/2006">
    <mc:Choice Requires="x15">
      <x15ac:absPath xmlns:x15ac="http://schemas.microsoft.com/office/spreadsheetml/2010/11/ac" url="C:\Users\LATITUDE\Downloads\"/>
    </mc:Choice>
  </mc:AlternateContent>
  <xr:revisionPtr revIDLastSave="0" documentId="13_ncr:1_{8007A09E-32B6-46AC-A043-D7CF8DDFA6E4}" xr6:coauthVersionLast="37" xr6:coauthVersionMax="37" xr10:uidLastSave="{00000000-0000-0000-0000-000000000000}"/>
  <bookViews>
    <workbookView xWindow="2925" yWindow="0" windowWidth="18225" windowHeight="7410" firstSheet="4" activeTab="7" xr2:uid="{00000000-000D-0000-FFFF-FFFF00000000}"/>
  </bookViews>
  <sheets>
    <sheet name="DataRaw" sheetId="1" r:id="rId1"/>
    <sheet name="DataCleaning" sheetId="7" r:id="rId2"/>
    <sheet name="DataEnrichment" sheetId="8" r:id="rId3"/>
    <sheet name="PRegion&amp;Date" sheetId="10" r:id="rId4"/>
    <sheet name="PRegion&amp;Product" sheetId="9" r:id="rId5"/>
    <sheet name="PDate" sheetId="11" r:id="rId6"/>
    <sheet name="Dashboard" sheetId="12" r:id="rId7"/>
    <sheet name="AlurKerja" sheetId="6" r:id="rId8"/>
    <sheet name="RefProd" sheetId="3" r:id="rId9"/>
    <sheet name="RefRegion" sheetId="2" r:id="rId10"/>
  </sheets>
  <definedNames>
    <definedName name="NativeTimeline_Transaction_Date">#N/A</definedName>
    <definedName name="Slicer_Product_Category">#N/A</definedName>
    <definedName name="Slicer_Region">#N/A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calcChain.xml><?xml version="1.0" encoding="utf-8"?>
<calcChain xmlns="http://schemas.openxmlformats.org/spreadsheetml/2006/main">
  <c r="E3" i="8" l="1"/>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2" i="8"/>
</calcChain>
</file>

<file path=xl/sharedStrings.xml><?xml version="1.0" encoding="utf-8"?>
<sst xmlns="http://schemas.openxmlformats.org/spreadsheetml/2006/main" count="1351" uniqueCount="207">
  <si>
    <t>Order_ID</t>
  </si>
  <si>
    <t>Customer_Name</t>
  </si>
  <si>
    <t>Product_Code</t>
  </si>
  <si>
    <t>Transaction_Date</t>
  </si>
  <si>
    <t>Sales_Value</t>
  </si>
  <si>
    <t>Region_Code</t>
  </si>
  <si>
    <t>TRX518</t>
  </si>
  <si>
    <t>Andi wijaya</t>
  </si>
  <si>
    <t>R-03</t>
  </si>
  <si>
    <t>TRX833</t>
  </si>
  <si>
    <t xml:space="preserve"> budi santoso</t>
  </si>
  <si>
    <t>R-02</t>
  </si>
  <si>
    <t>TRX638</t>
  </si>
  <si>
    <t xml:space="preserve">Eko Purnomo </t>
  </si>
  <si>
    <t>TRX196</t>
  </si>
  <si>
    <t>R-01</t>
  </si>
  <si>
    <t>TRX370</t>
  </si>
  <si>
    <t>Siti  Aminah</t>
  </si>
  <si>
    <t>KD-LPT-01</t>
  </si>
  <si>
    <t>TRX467</t>
  </si>
  <si>
    <t>TRX159</t>
  </si>
  <si>
    <t>R-04</t>
  </si>
  <si>
    <t>TRX747</t>
  </si>
  <si>
    <t>KD-MSE-02</t>
  </si>
  <si>
    <t>TRX823</t>
  </si>
  <si>
    <t>TRX821</t>
  </si>
  <si>
    <t>TRX658</t>
  </si>
  <si>
    <t xml:space="preserve">  </t>
  </si>
  <si>
    <t>TRX804</t>
  </si>
  <si>
    <t>TRX261</t>
  </si>
  <si>
    <t>TRX919</t>
  </si>
  <si>
    <t>TRX417</t>
  </si>
  <si>
    <t>TRX861</t>
  </si>
  <si>
    <t>TRX427</t>
  </si>
  <si>
    <t>TRX956</t>
  </si>
  <si>
    <t>TRX114</t>
  </si>
  <si>
    <t>DEWI LESTARI</t>
  </si>
  <si>
    <t>TRX830</t>
  </si>
  <si>
    <t>TRX398</t>
  </si>
  <si>
    <t>TRX769</t>
  </si>
  <si>
    <t>TRX363</t>
  </si>
  <si>
    <t>TRX698</t>
  </si>
  <si>
    <t>TRX999</t>
  </si>
  <si>
    <t>TRX968</t>
  </si>
  <si>
    <t>TRX140</t>
  </si>
  <si>
    <t>TRX421</t>
  </si>
  <si>
    <t>TRX120</t>
  </si>
  <si>
    <t>TRX941</t>
  </si>
  <si>
    <t>TRX573</t>
  </si>
  <si>
    <t>TRX915</t>
  </si>
  <si>
    <t>TRX422</t>
  </si>
  <si>
    <t>TRX355</t>
  </si>
  <si>
    <t>TRX925</t>
  </si>
  <si>
    <t>TRX368</t>
  </si>
  <si>
    <t>TRX559</t>
  </si>
  <si>
    <t>TRX988</t>
  </si>
  <si>
    <t>TRX723</t>
  </si>
  <si>
    <t>TRX805</t>
  </si>
  <si>
    <t>TRX393</t>
  </si>
  <si>
    <t>TRX391</t>
  </si>
  <si>
    <t>TRX413</t>
  </si>
  <si>
    <t>TRX199</t>
  </si>
  <si>
    <t>TRX314</t>
  </si>
  <si>
    <t>TRX451</t>
  </si>
  <si>
    <t>TRX500</t>
  </si>
  <si>
    <t>TRX472</t>
  </si>
  <si>
    <t>TRX911</t>
  </si>
  <si>
    <t>TRX145</t>
  </si>
  <si>
    <t>TRX832</t>
  </si>
  <si>
    <t>TRX224</t>
  </si>
  <si>
    <t>TRX876</t>
  </si>
  <si>
    <t>TRX269</t>
  </si>
  <si>
    <t>TRX154</t>
  </si>
  <si>
    <t>TRX874</t>
  </si>
  <si>
    <t>TRX285</t>
  </si>
  <si>
    <t>TRX865</t>
  </si>
  <si>
    <t>TRX471</t>
  </si>
  <si>
    <t>TRX216</t>
  </si>
  <si>
    <t>TRX317</t>
  </si>
  <si>
    <t>TRX791</t>
  </si>
  <si>
    <t>TRX481</t>
  </si>
  <si>
    <t>TRX866</t>
  </si>
  <si>
    <t>TRX113</t>
  </si>
  <si>
    <t>TRX101</t>
  </si>
  <si>
    <t>TRX569</t>
  </si>
  <si>
    <t>TRX600</t>
  </si>
  <si>
    <t>TRX990</t>
  </si>
  <si>
    <t>TRX666</t>
  </si>
  <si>
    <t>TRX414</t>
  </si>
  <si>
    <t>TRX279</t>
  </si>
  <si>
    <t>TRX928</t>
  </si>
  <si>
    <t>TRX505</t>
  </si>
  <si>
    <t>TRX697</t>
  </si>
  <si>
    <t>TRX709</t>
  </si>
  <si>
    <t>TRX581</t>
  </si>
  <si>
    <t>TRX341</t>
  </si>
  <si>
    <t>TRX205</t>
  </si>
  <si>
    <t>TRX598</t>
  </si>
  <si>
    <t>TRX940</t>
  </si>
  <si>
    <t>TRX389</t>
  </si>
  <si>
    <t>TRX486</t>
  </si>
  <si>
    <t>TRX176</t>
  </si>
  <si>
    <t>TRX390</t>
  </si>
  <si>
    <t>TRX266</t>
  </si>
  <si>
    <t>TRX748</t>
  </si>
  <si>
    <t>TRX852</t>
  </si>
  <si>
    <t>TRX963</t>
  </si>
  <si>
    <t>TRX918</t>
  </si>
  <si>
    <t>TRX774</t>
  </si>
  <si>
    <t>TRX930</t>
  </si>
  <si>
    <t>TRX967</t>
  </si>
  <si>
    <t>TRX568</t>
  </si>
  <si>
    <t>TRX556</t>
  </si>
  <si>
    <t>TRX726</t>
  </si>
  <si>
    <t>Region_Name</t>
  </si>
  <si>
    <t>Jakarta</t>
  </si>
  <si>
    <t>Surabaya</t>
  </si>
  <si>
    <t>Medan</t>
  </si>
  <si>
    <t>Makassar</t>
  </si>
  <si>
    <t>Product_Name</t>
  </si>
  <si>
    <t>Laptop</t>
  </si>
  <si>
    <t>Mouse</t>
  </si>
  <si>
    <t>Monitor</t>
  </si>
  <si>
    <t>Keyboard</t>
  </si>
  <si>
    <t>Printer</t>
  </si>
  <si>
    <t>Alur kerja:</t>
  </si>
  <si>
    <t>1. Cleaning Data: merapikan data, handle missing value, handle duplicate data</t>
  </si>
  <si>
    <t>KD-MON-02</t>
  </si>
  <si>
    <t>KD-KBD-02</t>
  </si>
  <si>
    <t>KD-LPT-02</t>
  </si>
  <si>
    <t>KD-LPT-03</t>
  </si>
  <si>
    <t>KD-KBD-01</t>
  </si>
  <si>
    <t>KD-PRN-01</t>
  </si>
  <si>
    <t>KD-PRN-02</t>
  </si>
  <si>
    <t>KD-MON-01</t>
  </si>
  <si>
    <t>KD-MSE-01</t>
  </si>
  <si>
    <t>Category</t>
  </si>
  <si>
    <t>Laptop XYZ</t>
  </si>
  <si>
    <t>Laptop RTY</t>
  </si>
  <si>
    <t>Laptop QWE</t>
  </si>
  <si>
    <t>Mouse Optik A</t>
  </si>
  <si>
    <t>Mouse Gaming B</t>
  </si>
  <si>
    <t>Monitor 24 inch</t>
  </si>
  <si>
    <t>Monitor 27 inch</t>
  </si>
  <si>
    <t>Keyboard Mechanical</t>
  </si>
  <si>
    <t>Keyboard Wireless</t>
  </si>
  <si>
    <t>Printer Laser</t>
  </si>
  <si>
    <t>Printer Inkjet</t>
  </si>
  <si>
    <t>2. Enrichment Data: lookup value</t>
  </si>
  <si>
    <t>3. Data Analysis: dashboard</t>
  </si>
  <si>
    <t>Cleaning Data</t>
  </si>
  <si>
    <t>1. handle missing value kolom customer</t>
  </si>
  <si>
    <t>a. buat kolom baru di samping kanan</t>
  </si>
  <si>
    <t>b. gunakan `=if(isblank(cellCustomer);"Unknown";cellCustomer)</t>
  </si>
  <si>
    <t>c. copy kolom customer baru dan paste value</t>
  </si>
  <si>
    <t>d. hapus kolom customer lama</t>
  </si>
  <si>
    <t>Unknown</t>
  </si>
  <si>
    <t>2. handle missing value kolom sales_value</t>
  </si>
  <si>
    <t>b. gunakan `=if(isblank(cellSales);averageif(rangeRegion;criteriaRegion;rangeAverage);cellSales)</t>
  </si>
  <si>
    <t>function di atas digunakan untuk mengisi cell sales value jika kosong dengan rata-rata berdasarkan region</t>
  </si>
  <si>
    <t>jika tidak kosong maka isi sesuai dengan nilai sales_value</t>
  </si>
  <si>
    <t>Andi Wijaya</t>
  </si>
  <si>
    <t>Budi Santoso</t>
  </si>
  <si>
    <t>Eko Purnomo</t>
  </si>
  <si>
    <t>Siti Aminah</t>
  </si>
  <si>
    <t>Dewi Lestari</t>
  </si>
  <si>
    <t>3. rapikan data nama kolom customer</t>
  </si>
  <si>
    <t>b. gunakan `=trim(proper(cellCustomer))</t>
  </si>
  <si>
    <t>4. rapikan data tanggal kolom date</t>
  </si>
  <si>
    <t>a. select kolom date</t>
  </si>
  <si>
    <t>b. ganti format tanggal menjadi dd/mmm/yyyy</t>
  </si>
  <si>
    <t>5. rapikan data sales_value</t>
  </si>
  <si>
    <t>a. select kolom sales_value</t>
  </si>
  <si>
    <t>b. ganti format nomor menjadi #,##0 agar memberi comma separator pada ribuan</t>
  </si>
  <si>
    <t>6. hapus duplikat data jika ada</t>
  </si>
  <si>
    <t>Enrichment Data</t>
  </si>
  <si>
    <t>Region</t>
  </si>
  <si>
    <t>1. lookup value product name</t>
  </si>
  <si>
    <t>a. buat kolom baru di samping product_code</t>
  </si>
  <si>
    <t>b. gunakan formula `=vlookup(idProduct;arrayRefProd;kolomProductName;exactMatch)</t>
  </si>
  <si>
    <t>2. lookup  value region</t>
  </si>
  <si>
    <t>a. buat kolom baru di samping region_code</t>
  </si>
  <si>
    <t>Product_Category</t>
  </si>
  <si>
    <t>3. lookup product category</t>
  </si>
  <si>
    <t>a. buat kolom baru di samping product_name</t>
  </si>
  <si>
    <t>4. format as table</t>
  </si>
  <si>
    <t>Row Labels</t>
  </si>
  <si>
    <t>Grand Total</t>
  </si>
  <si>
    <t>Sum of Sales_Value</t>
  </si>
  <si>
    <t>Column Labels</t>
  </si>
  <si>
    <t>Jan</t>
  </si>
  <si>
    <t>Feb</t>
  </si>
  <si>
    <t>Mar</t>
  </si>
  <si>
    <t>Apr</t>
  </si>
  <si>
    <t>Dashboard Profit</t>
  </si>
  <si>
    <t>Dashboard</t>
  </si>
  <si>
    <t>1. buat pivot table berdasarkan analisa yang ingin dibuat</t>
  </si>
  <si>
    <t>a. pivot table dengan kolom region dan baris date</t>
  </si>
  <si>
    <t>b. pivot table dengan kolom product dan baris region</t>
  </si>
  <si>
    <t>c. pivot table dengan baris date</t>
  </si>
  <si>
    <t>2. buat chart pada setiap pivot table</t>
  </si>
  <si>
    <t>3. copy dan paste semua chart pada satu sheet</t>
  </si>
  <si>
    <t>4. sesuaikan dan rapikan chart</t>
  </si>
  <si>
    <t>5. tambah slicer dan timeline untuk interaktivitas</t>
  </si>
  <si>
    <t>d. hapus kolom sales_value lama</t>
  </si>
  <si>
    <t>b. gunakan formula `=vlookup(idRegion;arrayRefRegion;kolomRegion;exactMatch)</t>
  </si>
  <si>
    <t>b. gunakan formula `=vlookup(idProduct;arrayRefProd;kolomProductCategory;exactMatch)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</si>
</sst>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dd/mmm/yyyy"/>
  </numFmts>
  <fonts count="5" x14ac:knownFonts="1">
    <font>
      <sz val="11"/>
      <color theme="1"/>
      <name val="Corbel"/>
      <family val="2"/>
      <scheme val="minor"/>
    </font>
    <font>
      <b/>
      <sz val="11"/>
      <name val="Calibri"/>
    </font>
    <font>
      <b/>
      <sz val="11"/>
      <color theme="1"/>
      <name val="Corbel"/>
      <family val="2"/>
      <scheme val="minor"/>
    </font>
    <font>
      <b/>
      <sz val="11"/>
      <name val="Calibri"/>
      <family val="2"/>
    </font>
    <font>
      <sz val="48"/>
      <color theme="1"/>
      <name val="Corbel"/>
      <family val="2"/>
      <scheme val="minor"/>
    </font>
  </fonts>
  <fills count="3">
    <fill>
      <patternFill patternType="none"/>
    </fill>
    <fill>
      <patternFill patternType="gray125"/>
    </fill>
    <fill>
      <patternFill patternType="solid">
        <fgColor rgb="FF8CC76B"/>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0" fillId="0" borderId="1" xfId="0" applyBorder="1"/>
    <xf numFmtId="164" fontId="0" fillId="0" borderId="1" xfId="0" applyNumberFormat="1" applyBorder="1"/>
    <xf numFmtId="0" fontId="2" fillId="0" borderId="1" xfId="0" applyFont="1" applyBorder="1"/>
    <xf numFmtId="0" fontId="3" fillId="0" borderId="1" xfId="0" applyFont="1" applyBorder="1" applyAlignment="1">
      <alignment horizontal="center" vertical="top"/>
    </xf>
    <xf numFmtId="165" fontId="0" fillId="0" borderId="1" xfId="0" applyNumberFormat="1" applyBorder="1"/>
    <xf numFmtId="3" fontId="0" fillId="0" borderId="1" xfId="0" applyNumberFormat="1" applyBorder="1"/>
    <xf numFmtId="0" fontId="1" fillId="0" borderId="3" xfId="0" applyFont="1" applyFill="1" applyBorder="1" applyAlignment="1">
      <alignment horizontal="center" vertical="top"/>
    </xf>
    <xf numFmtId="0" fontId="1" fillId="0" borderId="2" xfId="0" applyFont="1" applyFill="1" applyBorder="1" applyAlignment="1">
      <alignment horizontal="center" vertical="top"/>
    </xf>
    <xf numFmtId="0" fontId="3" fillId="0" borderId="1" xfId="0" applyFont="1" applyFill="1" applyBorder="1" applyAlignment="1">
      <alignment horizontal="center" vertical="top"/>
    </xf>
    <xf numFmtId="0" fontId="1" fillId="0" borderId="1" xfId="0" applyFont="1" applyFill="1" applyBorder="1" applyAlignment="1">
      <alignment horizontal="center" vertical="top"/>
    </xf>
    <xf numFmtId="0" fontId="0" fillId="0" borderId="2" xfId="0" applyFill="1" applyBorder="1"/>
    <xf numFmtId="0" fontId="0" fillId="0" borderId="1" xfId="0" applyFill="1" applyBorder="1"/>
    <xf numFmtId="165" fontId="0" fillId="0" borderId="1" xfId="0" applyNumberFormat="1" applyFill="1" applyBorder="1"/>
    <xf numFmtId="3" fontId="0" fillId="0" borderId="1" xfId="0" applyNumberFormat="1" applyFill="1" applyBorder="1"/>
    <xf numFmtId="0" fontId="0" fillId="0" borderId="4" xfId="0" applyFill="1" applyBorder="1"/>
    <xf numFmtId="0" fontId="0" fillId="0" borderId="5" xfId="0" applyFill="1" applyBorder="1"/>
    <xf numFmtId="0" fontId="0" fillId="0" borderId="6" xfId="0" applyFill="1" applyBorder="1"/>
    <xf numFmtId="165" fontId="0" fillId="0" borderId="6" xfId="0" applyNumberFormat="1" applyFill="1" applyBorder="1"/>
    <xf numFmtId="3" fontId="0" fillId="0" borderId="6" xfId="0" applyNumberFormat="1" applyFill="1" applyBorder="1"/>
    <xf numFmtId="0" fontId="0" fillId="0" borderId="7" xfId="0" applyFill="1" applyBorder="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indent="2"/>
    </xf>
    <xf numFmtId="0" fontId="0" fillId="0" borderId="0" xfId="0" applyAlignment="1">
      <alignment horizontal="left" indent="3"/>
    </xf>
  </cellXfs>
  <cellStyles count="1">
    <cellStyle name="Normal" xfId="0" builtinId="0"/>
  </cellStyles>
  <dxfs count="12">
    <dxf>
      <fill>
        <patternFill patternType="none">
          <fgColor indexed="64"/>
          <bgColor auto="1"/>
        </patternFill>
      </fill>
      <border diagonalUp="0" diagonalDown="0" outline="0">
        <left style="thin">
          <color auto="1"/>
        </left>
        <right/>
        <top style="thin">
          <color auto="1"/>
        </top>
        <bottom style="thin">
          <color auto="1"/>
        </bottom>
      </border>
    </dxf>
    <dxf>
      <fill>
        <patternFill patternType="none">
          <fgColor indexed="64"/>
          <bgColor auto="1"/>
        </patternFill>
      </fill>
      <border diagonalUp="0" diagonalDown="0" outline="0">
        <left style="thin">
          <color auto="1"/>
        </left>
        <right style="thin">
          <color auto="1"/>
        </right>
        <top style="thin">
          <color auto="1"/>
        </top>
        <bottom style="thin">
          <color auto="1"/>
        </bottom>
      </border>
    </dxf>
    <dxf>
      <numFmt numFmtId="3" formatCode="#,##0"/>
      <fill>
        <patternFill patternType="none">
          <fgColor indexed="64"/>
          <bgColor auto="1"/>
        </patternFill>
      </fill>
      <border diagonalUp="0" diagonalDown="0" outline="0">
        <left style="thin">
          <color auto="1"/>
        </left>
        <right style="thin">
          <color auto="1"/>
        </right>
        <top style="thin">
          <color auto="1"/>
        </top>
        <bottom style="thin">
          <color auto="1"/>
        </bottom>
      </border>
    </dxf>
    <dxf>
      <numFmt numFmtId="165" formatCode="dd/mmm/yyyy"/>
      <fill>
        <patternFill patternType="none">
          <fgColor indexed="64"/>
          <bgColor auto="1"/>
        </patternFill>
      </fill>
      <border diagonalUp="0" diagonalDown="0" outline="0">
        <left style="thin">
          <color auto="1"/>
        </left>
        <right style="thin">
          <color auto="1"/>
        </right>
        <top style="thin">
          <color auto="1"/>
        </top>
        <bottom style="thin">
          <color auto="1"/>
        </bottom>
      </border>
    </dxf>
    <dxf>
      <fill>
        <patternFill patternType="none">
          <fgColor indexed="64"/>
          <bgColor auto="1"/>
        </patternFill>
      </fill>
      <border diagonalUp="0" diagonalDown="0" outline="0">
        <left style="thin">
          <color auto="1"/>
        </left>
        <right style="thin">
          <color auto="1"/>
        </right>
        <top style="thin">
          <color auto="1"/>
        </top>
        <bottom style="thin">
          <color auto="1"/>
        </bottom>
      </border>
    </dxf>
    <dxf>
      <fill>
        <patternFill patternType="none">
          <fgColor indexed="64"/>
          <bgColor auto="1"/>
        </patternFill>
      </fill>
      <border diagonalUp="0" diagonalDown="0" outline="0">
        <left style="thin">
          <color auto="1"/>
        </left>
        <right style="thin">
          <color auto="1"/>
        </right>
        <top style="thin">
          <color auto="1"/>
        </top>
        <bottom style="thin">
          <color auto="1"/>
        </bottom>
      </border>
    </dxf>
    <dxf>
      <fill>
        <patternFill patternType="none">
          <fgColor indexed="64"/>
          <bgColor auto="1"/>
        </patternFill>
      </fill>
      <border diagonalUp="0" diagonalDown="0" outline="0">
        <left style="thin">
          <color auto="1"/>
        </left>
        <right style="thin">
          <color auto="1"/>
        </right>
        <top style="thin">
          <color auto="1"/>
        </top>
        <bottom style="thin">
          <color auto="1"/>
        </bottom>
      </border>
    </dxf>
    <dxf>
      <fill>
        <patternFill patternType="none">
          <fgColor indexed="64"/>
          <bgColor auto="1"/>
        </patternFill>
      </fill>
      <border diagonalUp="0" diagonalDown="0" outline="0">
        <left style="thin">
          <color auto="1"/>
        </left>
        <right style="thin">
          <color auto="1"/>
        </right>
        <top style="thin">
          <color auto="1"/>
        </top>
        <bottom style="thin">
          <color auto="1"/>
        </bottom>
      </border>
    </dxf>
    <dxf>
      <fill>
        <patternFill patternType="none">
          <fgColor indexed="64"/>
          <bgColor auto="1"/>
        </patternFill>
      </fill>
      <border diagonalUp="0" diagonalDown="0" outline="0">
        <left/>
        <right style="thin">
          <color auto="1"/>
        </right>
        <top style="thin">
          <color auto="1"/>
        </top>
        <bottom style="thin">
          <color auto="1"/>
        </bottom>
      </border>
    </dxf>
    <dxf>
      <border outline="0">
        <left style="thin">
          <color auto="1"/>
        </left>
        <right style="thin">
          <color auto="1"/>
        </right>
        <bottom style="thin">
          <color auto="1"/>
        </bottom>
      </border>
    </dxf>
    <dxf>
      <fill>
        <patternFill patternType="none">
          <fgColor indexed="64"/>
          <bgColor auto="1"/>
        </patternFill>
      </fill>
    </dxf>
    <dxf>
      <font>
        <b/>
        <i val="0"/>
        <strike val="0"/>
        <condense val="0"/>
        <extend val="0"/>
        <outline val="0"/>
        <shadow val="0"/>
        <u val="none"/>
        <vertAlign val="baseline"/>
        <sz val="11"/>
        <color auto="1"/>
        <name val="Calibri"/>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8CC76B"/>
      <color rgb="FF66CC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[Portfolio-CleanEnrichAnalyze_1.xlsx]PRegion&amp;Date!PivotTable2</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lineChart>
        <c:grouping val="standard"/>
        <c:varyColors val="0"/>
        <c:ser>
          <c:idx val="0"/>
          <c:order val="0"/>
          <c:tx>
            <c:strRef>
              <c:f>'PRegion&amp;Date'!$B$3:$B$4</c:f>
              <c:strCache>
                <c:ptCount val="1"/>
                <c:pt idx="0">
                  <c:v>Jakarta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'PRegion&amp;Date'!$A$5:$A$9</c:f>
              <c:strCache>
                <c:ptCount val="4"/>
                <c:pt idx="0">
                  <c:v>Jan</c:v>
                </c:pt>
                <c:pt idx="1">
                  <c:v>Feb</c:v>
                </c:pt>
                <c:pt idx="2">
                  <c:v>Mar</c:v>
                </c:pt>
                <c:pt idx="3">
                  <c:v>Apr</c:v>
                </c:pt>
              </c:strCache>
            </c:strRef>
          </c:cat>
          <c:val>
            <c:numRef>
              <c:f>'PRegion&amp;Date'!$B$5:$B$9</c:f>
              <c:numCache>
                <c:formatCode>General</c:formatCode>
                <c:ptCount val="4"/>
                <c:pt idx="0">
                  <c:v>70389012.680000007</c:v>
                </c:pt>
                <c:pt idx="1">
                  <c:v>59180178</c:v>
                </c:pt>
                <c:pt idx="2">
                  <c:v>81255893</c:v>
                </c:pt>
                <c:pt idx="3">
                  <c:v>8188004</c:v>
                </c:pt>
              </c:numCache>
            </c:numRef>
          </c:val>
          <c:smooth val="0"/>
          <c:extLst>
            <c:ext xmlns:c16="http://schemas.microsoft.com/office/drawing/2014/chart" uri="{C3380CC4-5D6E-409C-BE32-E72D297353CC}">
              <c16:uniqueId val="{00000000-2F93-4EC1-9B76-B528B0A4E40C}"/>
            </c:ext>
          </c:extLst>
        </c:ser>
        <c:ser>
          <c:idx val="1"/>
          <c:order val="1"/>
          <c:tx>
            <c:strRef>
              <c:f>'PRegion&amp;Date'!$C$3:$C$4</c:f>
              <c:strCache>
                <c:ptCount val="1"/>
                <c:pt idx="0">
                  <c:v>Makassar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'PRegion&amp;Date'!$A$5:$A$9</c:f>
              <c:strCache>
                <c:ptCount val="4"/>
                <c:pt idx="0">
                  <c:v>Jan</c:v>
                </c:pt>
                <c:pt idx="1">
                  <c:v>Feb</c:v>
                </c:pt>
                <c:pt idx="2">
                  <c:v>Mar</c:v>
                </c:pt>
                <c:pt idx="3">
                  <c:v>Apr</c:v>
                </c:pt>
              </c:strCache>
            </c:strRef>
          </c:cat>
          <c:val>
            <c:numRef>
              <c:f>'PRegion&amp;Date'!$C$5:$C$9</c:f>
              <c:numCache>
                <c:formatCode>General</c:formatCode>
                <c:ptCount val="4"/>
                <c:pt idx="0">
                  <c:v>47453938</c:v>
                </c:pt>
                <c:pt idx="1">
                  <c:v>81622400</c:v>
                </c:pt>
                <c:pt idx="2">
                  <c:v>90568974</c:v>
                </c:pt>
                <c:pt idx="3">
                  <c:v>34828955</c:v>
                </c:pt>
              </c:numCache>
            </c:numRef>
          </c:val>
          <c:smooth val="0"/>
          <c:extLst>
            <c:ext xmlns:c16="http://schemas.microsoft.com/office/drawing/2014/chart" uri="{C3380CC4-5D6E-409C-BE32-E72D297353CC}">
              <c16:uniqueId val="{00000013-2F93-4EC1-9B76-B528B0A4E40C}"/>
            </c:ext>
          </c:extLst>
        </c:ser>
        <c:ser>
          <c:idx val="2"/>
          <c:order val="2"/>
          <c:tx>
            <c:strRef>
              <c:f>'PRegion&amp;Date'!$D$3:$D$4</c:f>
              <c:strCache>
                <c:ptCount val="1"/>
                <c:pt idx="0">
                  <c:v>Medan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'PRegion&amp;Date'!$A$5:$A$9</c:f>
              <c:strCache>
                <c:ptCount val="4"/>
                <c:pt idx="0">
                  <c:v>Jan</c:v>
                </c:pt>
                <c:pt idx="1">
                  <c:v>Feb</c:v>
                </c:pt>
                <c:pt idx="2">
                  <c:v>Mar</c:v>
                </c:pt>
                <c:pt idx="3">
                  <c:v>Apr</c:v>
                </c:pt>
              </c:strCache>
            </c:strRef>
          </c:cat>
          <c:val>
            <c:numRef>
              <c:f>'PRegion&amp;Date'!$D$5:$D$9</c:f>
              <c:numCache>
                <c:formatCode>General</c:formatCode>
                <c:ptCount val="4"/>
                <c:pt idx="0">
                  <c:v>97796457.444444448</c:v>
                </c:pt>
                <c:pt idx="1">
                  <c:v>80429553</c:v>
                </c:pt>
                <c:pt idx="2">
                  <c:v>90797166</c:v>
                </c:pt>
                <c:pt idx="3">
                  <c:v>68200082</c:v>
                </c:pt>
              </c:numCache>
            </c:numRef>
          </c:val>
          <c:smooth val="0"/>
          <c:extLst>
            <c:ext xmlns:c16="http://schemas.microsoft.com/office/drawing/2014/chart" uri="{C3380CC4-5D6E-409C-BE32-E72D297353CC}">
              <c16:uniqueId val="{00000014-2F93-4EC1-9B76-B528B0A4E40C}"/>
            </c:ext>
          </c:extLst>
        </c:ser>
        <c:ser>
          <c:idx val="3"/>
          <c:order val="3"/>
          <c:tx>
            <c:strRef>
              <c:f>'PRegion&amp;Date'!$E$3:$E$4</c:f>
              <c:strCache>
                <c:ptCount val="1"/>
                <c:pt idx="0">
                  <c:v>Surabaya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'PRegion&amp;Date'!$A$5:$A$9</c:f>
              <c:strCache>
                <c:ptCount val="4"/>
                <c:pt idx="0">
                  <c:v>Jan</c:v>
                </c:pt>
                <c:pt idx="1">
                  <c:v>Feb</c:v>
                </c:pt>
                <c:pt idx="2">
                  <c:v>Mar</c:v>
                </c:pt>
                <c:pt idx="3">
                  <c:v>Apr</c:v>
                </c:pt>
              </c:strCache>
            </c:strRef>
          </c:cat>
          <c:val>
            <c:numRef>
              <c:f>'PRegion&amp;Date'!$E$5:$E$9</c:f>
              <c:numCache>
                <c:formatCode>General</c:formatCode>
                <c:ptCount val="4"/>
                <c:pt idx="0">
                  <c:v>61610296.299999997</c:v>
                </c:pt>
                <c:pt idx="1">
                  <c:v>99369558</c:v>
                </c:pt>
                <c:pt idx="2">
                  <c:v>46037751</c:v>
                </c:pt>
              </c:numCache>
            </c:numRef>
          </c:val>
          <c:smooth val="0"/>
          <c:extLst>
            <c:ext xmlns:c16="http://schemas.microsoft.com/office/drawing/2014/chart" uri="{C3380CC4-5D6E-409C-BE32-E72D297353CC}">
              <c16:uniqueId val="{00000015-2F93-4EC1-9B76-B528B0A4E40C}"/>
            </c:ext>
          </c:extLst>
        </c:ser>
        <c:dLbls>
          <c:showLegendKey val="0"/>
          <c:showVal val="0"/>
          <c:showCatName val="0"/>
          <c:showSerName val="0"/>
          <c:showPercent val="0"/>
          <c:showBubbleSize val="0"/>
        </c:dLbls>
        <c:marker val="1"/>
        <c:smooth val="0"/>
        <c:axId val="980886079"/>
        <c:axId val="985969183"/>
      </c:lineChart>
      <c:catAx>
        <c:axId val="98088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85969183"/>
        <c:crosses val="autoZero"/>
        <c:auto val="1"/>
        <c:lblAlgn val="ctr"/>
        <c:lblOffset val="100"/>
        <c:noMultiLvlLbl val="0"/>
      </c:catAx>
      <c:valAx>
        <c:axId val="98596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8088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[Portfolio-CleanEnrichAnalyze_1.xlsx]PRegion&amp;Product!PivotTable1</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'PRegion&amp;Product'!$B$3:$B$4</c:f>
              <c:strCache>
                <c:ptCount val="1"/>
                <c:pt idx="0">
                  <c:v>Jakarta</c:v>
                </c:pt>
              </c:strCache>
            </c:strRef>
          </c:tx>
          <c:spPr>
            <a:solidFill>
              <a:schemeClr val="accent1"/>
            </a:solidFill>
            <a:ln>
              <a:noFill/>
            </a:ln>
            <a:effectLst/>
          </c:spPr>
          <c:invertIfNegative val="0"/>
          <c:cat>
            <c:strRef>
              <c:f>'PRegion&amp;Product'!$A$5:$A$10</c:f>
              <c:strCache>
                <c:ptCount val="5"/>
                <c:pt idx="0">
                  <c:v>Keyboard</c:v>
                </c:pt>
                <c:pt idx="1">
                  <c:v>Laptop</c:v>
                </c:pt>
                <c:pt idx="2">
                  <c:v>Monitor</c:v>
                </c:pt>
                <c:pt idx="3">
                  <c:v>Mouse</c:v>
                </c:pt>
                <c:pt idx="4">
                  <c:v>Printer</c:v>
                </c:pt>
              </c:strCache>
            </c:strRef>
          </c:cat>
          <c:val>
            <c:numRef>
              <c:f>'PRegion&amp;Product'!$B$5:$B$10</c:f>
              <c:numCache>
                <c:formatCode>General</c:formatCode>
                <c:ptCount val="5"/>
                <c:pt idx="0">
                  <c:v>45942431.840000004</c:v>
                </c:pt>
                <c:pt idx="1">
                  <c:v>93835187.840000004</c:v>
                </c:pt>
                <c:pt idx="2">
                  <c:v>32527050</c:v>
                </c:pt>
                <c:pt idx="3">
                  <c:v>23945996</c:v>
                </c:pt>
                <c:pt idx="4">
                  <c:v>22762422</c:v>
                </c:pt>
              </c:numCache>
            </c:numRef>
          </c:val>
          <c:extLst>
            <c:ext xmlns:c16="http://schemas.microsoft.com/office/drawing/2014/chart" uri="{C3380CC4-5D6E-409C-BE32-E72D297353CC}">
              <c16:uniqueId val="{00000000-F7BF-49CE-91BC-9820720D2843}"/>
            </c:ext>
          </c:extLst>
        </c:ser>
        <c:ser>
          <c:idx val="1"/>
          <c:order val="1"/>
          <c:tx>
            <c:strRef>
              <c:f>'PRegion&amp;Product'!$C$3:$C$4</c:f>
              <c:strCache>
                <c:ptCount val="1"/>
                <c:pt idx="0">
                  <c:v>Makassar</c:v>
                </c:pt>
              </c:strCache>
            </c:strRef>
          </c:tx>
          <c:spPr>
            <a:solidFill>
              <a:schemeClr val="accent2"/>
            </a:solidFill>
            <a:ln>
              <a:noFill/>
            </a:ln>
            <a:effectLst/>
          </c:spPr>
          <c:invertIfNegative val="0"/>
          <c:cat>
            <c:strRef>
              <c:f>'PRegion&amp;Product'!$A$5:$A$10</c:f>
              <c:strCache>
                <c:ptCount val="5"/>
                <c:pt idx="0">
                  <c:v>Keyboard</c:v>
                </c:pt>
                <c:pt idx="1">
                  <c:v>Laptop</c:v>
                </c:pt>
                <c:pt idx="2">
                  <c:v>Monitor</c:v>
                </c:pt>
                <c:pt idx="3">
                  <c:v>Mouse</c:v>
                </c:pt>
                <c:pt idx="4">
                  <c:v>Printer</c:v>
                </c:pt>
              </c:strCache>
            </c:strRef>
          </c:cat>
          <c:val>
            <c:numRef>
              <c:f>'PRegion&amp;Product'!$C$5:$C$10</c:f>
              <c:numCache>
                <c:formatCode>General</c:formatCode>
                <c:ptCount val="5"/>
                <c:pt idx="0">
                  <c:v>47260591</c:v>
                </c:pt>
                <c:pt idx="1">
                  <c:v>49802848</c:v>
                </c:pt>
                <c:pt idx="2">
                  <c:v>76789216</c:v>
                </c:pt>
                <c:pt idx="3">
                  <c:v>36681085</c:v>
                </c:pt>
                <c:pt idx="4">
                  <c:v>43940527</c:v>
                </c:pt>
              </c:numCache>
            </c:numRef>
          </c:val>
          <c:extLst>
            <c:ext xmlns:c16="http://schemas.microsoft.com/office/drawing/2014/chart" uri="{C3380CC4-5D6E-409C-BE32-E72D297353CC}">
              <c16:uniqueId val="{0000000D-F7BF-49CE-91BC-9820720D2843}"/>
            </c:ext>
          </c:extLst>
        </c:ser>
        <c:ser>
          <c:idx val="2"/>
          <c:order val="2"/>
          <c:tx>
            <c:strRef>
              <c:f>'PRegion&amp;Product'!$D$3:$D$4</c:f>
              <c:strCache>
                <c:ptCount val="1"/>
                <c:pt idx="0">
                  <c:v>Medan</c:v>
                </c:pt>
              </c:strCache>
            </c:strRef>
          </c:tx>
          <c:spPr>
            <a:solidFill>
              <a:schemeClr val="accent3"/>
            </a:solidFill>
            <a:ln>
              <a:noFill/>
            </a:ln>
            <a:effectLst/>
          </c:spPr>
          <c:invertIfNegative val="0"/>
          <c:cat>
            <c:strRef>
              <c:f>'PRegion&amp;Product'!$A$5:$A$10</c:f>
              <c:strCache>
                <c:ptCount val="5"/>
                <c:pt idx="0">
                  <c:v>Keyboard</c:v>
                </c:pt>
                <c:pt idx="1">
                  <c:v>Laptop</c:v>
                </c:pt>
                <c:pt idx="2">
                  <c:v>Monitor</c:v>
                </c:pt>
                <c:pt idx="3">
                  <c:v>Mouse</c:v>
                </c:pt>
                <c:pt idx="4">
                  <c:v>Printer</c:v>
                </c:pt>
              </c:strCache>
            </c:strRef>
          </c:cat>
          <c:val>
            <c:numRef>
              <c:f>'PRegion&amp;Product'!$D$5:$D$10</c:f>
              <c:numCache>
                <c:formatCode>General</c:formatCode>
                <c:ptCount val="5"/>
                <c:pt idx="0">
                  <c:v>50929849</c:v>
                </c:pt>
                <c:pt idx="1">
                  <c:v>79810467.222222224</c:v>
                </c:pt>
                <c:pt idx="2">
                  <c:v>64629077.222222224</c:v>
                </c:pt>
                <c:pt idx="3">
                  <c:v>81405856</c:v>
                </c:pt>
                <c:pt idx="4">
                  <c:v>60448009</c:v>
                </c:pt>
              </c:numCache>
            </c:numRef>
          </c:val>
          <c:extLst>
            <c:ext xmlns:c16="http://schemas.microsoft.com/office/drawing/2014/chart" uri="{C3380CC4-5D6E-409C-BE32-E72D297353CC}">
              <c16:uniqueId val="{0000000E-F7BF-49CE-91BC-9820720D2843}"/>
            </c:ext>
          </c:extLst>
        </c:ser>
        <c:ser>
          <c:idx val="3"/>
          <c:order val="3"/>
          <c:tx>
            <c:strRef>
              <c:f>'PRegion&amp;Product'!$E$3:$E$4</c:f>
              <c:strCache>
                <c:ptCount val="1"/>
                <c:pt idx="0">
                  <c:v>Surabaya</c:v>
                </c:pt>
              </c:strCache>
            </c:strRef>
          </c:tx>
          <c:spPr>
            <a:solidFill>
              <a:schemeClr val="accent4"/>
            </a:solidFill>
            <a:ln>
              <a:noFill/>
            </a:ln>
            <a:effectLst/>
          </c:spPr>
          <c:invertIfNegative val="0"/>
          <c:cat>
            <c:strRef>
              <c:f>'PRegion&amp;Product'!$A$5:$A$10</c:f>
              <c:strCache>
                <c:ptCount val="5"/>
                <c:pt idx="0">
                  <c:v>Keyboard</c:v>
                </c:pt>
                <c:pt idx="1">
                  <c:v>Laptop</c:v>
                </c:pt>
                <c:pt idx="2">
                  <c:v>Monitor</c:v>
                </c:pt>
                <c:pt idx="3">
                  <c:v>Mouse</c:v>
                </c:pt>
                <c:pt idx="4">
                  <c:v>Printer</c:v>
                </c:pt>
              </c:strCache>
            </c:strRef>
          </c:cat>
          <c:val>
            <c:numRef>
              <c:f>'PRegion&amp;Product'!$E$5:$E$10</c:f>
              <c:numCache>
                <c:formatCode>General</c:formatCode>
                <c:ptCount val="5"/>
                <c:pt idx="0">
                  <c:v>35435746.149999999</c:v>
                </c:pt>
                <c:pt idx="1">
                  <c:v>78647476.150000006</c:v>
                </c:pt>
                <c:pt idx="2">
                  <c:v>32252291</c:v>
                </c:pt>
                <c:pt idx="3">
                  <c:v>40155644</c:v>
                </c:pt>
                <c:pt idx="4">
                  <c:v>20526448</c:v>
                </c:pt>
              </c:numCache>
            </c:numRef>
          </c:val>
          <c:extLst>
            <c:ext xmlns:c16="http://schemas.microsoft.com/office/drawing/2014/chart" uri="{C3380CC4-5D6E-409C-BE32-E72D297353CC}">
              <c16:uniqueId val="{0000000F-F7BF-49CE-91BC-9820720D2843}"/>
            </c:ext>
          </c:extLst>
        </c:ser>
        <c:dLbls>
          <c:showLegendKey val="0"/>
          <c:showVal val="0"/>
          <c:showCatName val="0"/>
          <c:showSerName val="0"/>
          <c:showPercent val="0"/>
          <c:showBubbleSize val="0"/>
        </c:dLbls>
        <c:gapWidth val="150"/>
        <c:overlap val="100"/>
        <c:axId val="985737999"/>
        <c:axId val="918662847"/>
      </c:barChart>
      <c:catAx>
        <c:axId val="9857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18662847"/>
        <c:crosses val="autoZero"/>
        <c:auto val="1"/>
        <c:lblAlgn val="ctr"/>
        <c:lblOffset val="100"/>
        <c:noMultiLvlLbl val="0"/>
      </c:catAx>
      <c:valAx>
        <c:axId val="91866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8573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[Portfolio-CleanEnrichAnalyze_1.xlsx]PDate!PivotTable3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PDate!$A$4:$A$8</c:f>
              <c:strCache>
                <c:ptCount val="4"/>
                <c:pt idx="0">
                  <c:v>Jan</c:v>
                </c:pt>
                <c:pt idx="1">
                  <c:v>Feb</c:v>
                </c:pt>
                <c:pt idx="2">
                  <c:v>Mar</c:v>
                </c:pt>
                <c:pt idx="3">
                  <c:v>Apr</c:v>
                </c:pt>
              </c:strCache>
            </c:strRef>
          </c:cat>
          <c:val>
            <c:numRef>
              <c:f>PDate!$B$4:$B$8</c:f>
              <c:numCache>
                <c:formatCode>General</c:formatCode>
                <c:ptCount val="4"/>
                <c:pt idx="0">
                  <c:v>277249704.42444444</c:v>
                </c:pt>
                <c:pt idx="1">
                  <c:v>320601689</c:v>
                </c:pt>
                <c:pt idx="2">
                  <c:v>308659784</c:v>
                </c:pt>
                <c:pt idx="3">
                  <c:v>111217041</c:v>
                </c:pt>
              </c:numCache>
            </c:numRef>
          </c:val>
          <c:smooth val="0"/>
          <c:extLst>
            <c:ext xmlns:c16="http://schemas.microsoft.com/office/drawing/2014/chart" uri="{C3380CC4-5D6E-409C-BE32-E72D297353CC}">
              <c16:uniqueId val="{00000000-017D-4B3F-9B50-5F9F226FCBB2}"/>
            </c:ext>
          </c:extLst>
        </c:ser>
        <c:dLbls>
          <c:showLegendKey val="0"/>
          <c:showVal val="0"/>
          <c:showCatName val="0"/>
          <c:showSerName val="0"/>
          <c:showPercent val="0"/>
          <c:showBubbleSize val="0"/>
        </c:dLbls>
        <c:marker val="1"/>
        <c:smooth val="0"/>
        <c:axId val="983453663"/>
        <c:axId val="979762287"/>
      </c:lineChart>
      <c:catAx>
        <c:axId val="98345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79762287"/>
        <c:crosses val="autoZero"/>
        <c:auto val="1"/>
        <c:lblAlgn val="ctr"/>
        <c:lblOffset val="100"/>
        <c:noMultiLvlLbl val="0"/>
      </c:catAx>
      <c:valAx>
        <c:axId val="97976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8345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[Portfolio-CleanEnrichAnalyze_1.xlsx]PDate!PivotTable3</c:name>
    <c:fmtId val="17"/>
  </c:pivotSource>
  <c:chart>
    <c:title>
      <c:tx>
        <c:rich>
          <a:bodyPr/>
          <a:lstStyle/>
          <a:p>
            <a:pPr>
              <a:defRPr sz="1400">
                <a:solidFill>
                  <a:schemeClr val="tx1">
                    <a:lumMod val="65000"/>
                    <a:lumOff val="35000"/>
                  </a:schemeClr>
                </a:solidFill>
              </a:defRPr>
            </a:pPr>
            <a:r>
              <a:rPr lang="en-US" sz="1400">
                <a:solidFill>
                  <a:schemeClr val="tx1">
                    <a:lumMod val="65000"/>
                    <a:lumOff val="35000"/>
                  </a:schemeClr>
                </a:solidFill>
              </a:rPr>
              <a:t>Profit</a:t>
            </a:r>
            <a:r>
              <a:rPr lang="en-US" sz="1400" baseline="0">
                <a:solidFill>
                  <a:schemeClr val="tx1">
                    <a:lumMod val="65000"/>
                    <a:lumOff val="35000"/>
                  </a:schemeClr>
                </a:solidFill>
              </a:rPr>
              <a:t> by Date</a:t>
            </a:r>
            <a:endParaRPr lang="en-US" sz="1400">
              <a:solidFill>
                <a:schemeClr val="tx1">
                  <a:lumMod val="65000"/>
                  <a:lumOff val="35000"/>
                </a:schemeClr>
              </a:solidFill>
            </a:endParaRPr>
          </a:p>
        </c:rich>
      </c:tx>
      <c:overlay val="0"/>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PDate!$A$4:$A$8</c:f>
              <c:strCache>
                <c:ptCount val="4"/>
                <c:pt idx="0">
                  <c:v>Jan</c:v>
                </c:pt>
                <c:pt idx="1">
                  <c:v>Feb</c:v>
                </c:pt>
                <c:pt idx="2">
                  <c:v>Mar</c:v>
                </c:pt>
                <c:pt idx="3">
                  <c:v>Apr</c:v>
                </c:pt>
              </c:strCache>
            </c:strRef>
          </c:cat>
          <c:val>
            <c:numRef>
              <c:f>PDate!$B$4:$B$8</c:f>
              <c:numCache>
                <c:formatCode>General</c:formatCode>
                <c:ptCount val="4"/>
                <c:pt idx="0">
                  <c:v>277249704.42444444</c:v>
                </c:pt>
                <c:pt idx="1">
                  <c:v>320601689</c:v>
                </c:pt>
                <c:pt idx="2">
                  <c:v>308659784</c:v>
                </c:pt>
                <c:pt idx="3">
                  <c:v>111217041</c:v>
                </c:pt>
              </c:numCache>
            </c:numRef>
          </c:val>
          <c:smooth val="0"/>
          <c:extLst>
            <c:ext xmlns:c16="http://schemas.microsoft.com/office/drawing/2014/chart" uri="{C3380CC4-5D6E-409C-BE32-E72D297353CC}">
              <c16:uniqueId val="{0000000A-E0D0-4951-B064-965641E6EAC9}"/>
            </c:ext>
          </c:extLst>
        </c:ser>
        <c:dLbls>
          <c:showLegendKey val="0"/>
          <c:showVal val="0"/>
          <c:showCatName val="0"/>
          <c:showSerName val="0"/>
          <c:showPercent val="0"/>
          <c:showBubbleSize val="0"/>
        </c:dLbls>
        <c:marker val="1"/>
        <c:smooth val="0"/>
        <c:axId val="980886079"/>
        <c:axId val="985969183"/>
      </c:lineChart>
      <c:catAx>
        <c:axId val="98088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85969183"/>
        <c:crosses val="autoZero"/>
        <c:auto val="1"/>
        <c:lblAlgn val="ctr"/>
        <c:lblOffset val="100"/>
        <c:noMultiLvlLbl val="0"/>
      </c:catAx>
      <c:valAx>
        <c:axId val="98596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8088607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[Portfolio-CleanEnrichAnalyze_1.xlsx]PRegion&amp;Product!PivotTable1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Profit</a:t>
            </a:r>
            <a:r>
              <a:rPr lang="en-GB" b="1" baseline="0"/>
              <a:t> by Category &amp; Region</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col"/>
        <c:grouping val="stacked"/>
        <c:varyColors val="0"/>
        <c:ser>
          <c:idx val="0"/>
          <c:order val="0"/>
          <c:tx>
            <c:strRef>
              <c:f>'PRegion&amp;Product'!$B$3:$B$4</c:f>
              <c:strCache>
                <c:ptCount val="1"/>
                <c:pt idx="0">
                  <c:v>Jakarta</c:v>
                </c:pt>
              </c:strCache>
            </c:strRef>
          </c:tx>
          <c:spPr>
            <a:solidFill>
              <a:schemeClr val="accent1"/>
            </a:solidFill>
            <a:ln>
              <a:noFill/>
            </a:ln>
            <a:effectLst/>
          </c:spPr>
          <c:invertIfNegative val="0"/>
          <c:cat>
            <c:strRef>
              <c:f>'PRegion&amp;Product'!$A$5:$A$10</c:f>
              <c:strCache>
                <c:ptCount val="5"/>
                <c:pt idx="0">
                  <c:v>Keyboard</c:v>
                </c:pt>
                <c:pt idx="1">
                  <c:v>Laptop</c:v>
                </c:pt>
                <c:pt idx="2">
                  <c:v>Monitor</c:v>
                </c:pt>
                <c:pt idx="3">
                  <c:v>Mouse</c:v>
                </c:pt>
                <c:pt idx="4">
                  <c:v>Printer</c:v>
                </c:pt>
              </c:strCache>
            </c:strRef>
          </c:cat>
          <c:val>
            <c:numRef>
              <c:f>'PRegion&amp;Product'!$B$5:$B$10</c:f>
              <c:numCache>
                <c:formatCode>General</c:formatCode>
                <c:ptCount val="5"/>
                <c:pt idx="0">
                  <c:v>45942431.840000004</c:v>
                </c:pt>
                <c:pt idx="1">
                  <c:v>93835187.840000004</c:v>
                </c:pt>
                <c:pt idx="2">
                  <c:v>32527050</c:v>
                </c:pt>
                <c:pt idx="3">
                  <c:v>23945996</c:v>
                </c:pt>
                <c:pt idx="4">
                  <c:v>22762422</c:v>
                </c:pt>
              </c:numCache>
            </c:numRef>
          </c:val>
          <c:extLst>
            <c:ext xmlns:c16="http://schemas.microsoft.com/office/drawing/2014/chart" uri="{C3380CC4-5D6E-409C-BE32-E72D297353CC}">
              <c16:uniqueId val="{00000000-69C4-4AA5-8A42-A4E78DD44CC3}"/>
            </c:ext>
          </c:extLst>
        </c:ser>
        <c:ser>
          <c:idx val="1"/>
          <c:order val="1"/>
          <c:tx>
            <c:strRef>
              <c:f>'PRegion&amp;Product'!$C$3:$C$4</c:f>
              <c:strCache>
                <c:ptCount val="1"/>
                <c:pt idx="0">
                  <c:v>Makassar</c:v>
                </c:pt>
              </c:strCache>
            </c:strRef>
          </c:tx>
          <c:spPr>
            <a:solidFill>
              <a:schemeClr val="accent2"/>
            </a:solidFill>
            <a:ln>
              <a:noFill/>
            </a:ln>
            <a:effectLst/>
          </c:spPr>
          <c:invertIfNegative val="0"/>
          <c:cat>
            <c:strRef>
              <c:f>'PRegion&amp;Product'!$A$5:$A$10</c:f>
              <c:strCache>
                <c:ptCount val="5"/>
                <c:pt idx="0">
                  <c:v>Keyboard</c:v>
                </c:pt>
                <c:pt idx="1">
                  <c:v>Laptop</c:v>
                </c:pt>
                <c:pt idx="2">
                  <c:v>Monitor</c:v>
                </c:pt>
                <c:pt idx="3">
                  <c:v>Mouse</c:v>
                </c:pt>
                <c:pt idx="4">
                  <c:v>Printer</c:v>
                </c:pt>
              </c:strCache>
            </c:strRef>
          </c:cat>
          <c:val>
            <c:numRef>
              <c:f>'PRegion&amp;Product'!$C$5:$C$10</c:f>
              <c:numCache>
                <c:formatCode>General</c:formatCode>
                <c:ptCount val="5"/>
                <c:pt idx="0">
                  <c:v>47260591</c:v>
                </c:pt>
                <c:pt idx="1">
                  <c:v>49802848</c:v>
                </c:pt>
                <c:pt idx="2">
                  <c:v>76789216</c:v>
                </c:pt>
                <c:pt idx="3">
                  <c:v>36681085</c:v>
                </c:pt>
                <c:pt idx="4">
                  <c:v>43940527</c:v>
                </c:pt>
              </c:numCache>
            </c:numRef>
          </c:val>
          <c:extLst>
            <c:ext xmlns:c16="http://schemas.microsoft.com/office/drawing/2014/chart" uri="{C3380CC4-5D6E-409C-BE32-E72D297353CC}">
              <c16:uniqueId val="{0000000D-69C4-4AA5-8A42-A4E78DD44CC3}"/>
            </c:ext>
          </c:extLst>
        </c:ser>
        <c:ser>
          <c:idx val="2"/>
          <c:order val="2"/>
          <c:tx>
            <c:strRef>
              <c:f>'PRegion&amp;Product'!$D$3:$D$4</c:f>
              <c:strCache>
                <c:ptCount val="1"/>
                <c:pt idx="0">
                  <c:v>Medan</c:v>
                </c:pt>
              </c:strCache>
            </c:strRef>
          </c:tx>
          <c:spPr>
            <a:solidFill>
              <a:schemeClr val="accent3"/>
            </a:solidFill>
            <a:ln>
              <a:noFill/>
            </a:ln>
            <a:effectLst/>
          </c:spPr>
          <c:invertIfNegative val="0"/>
          <c:cat>
            <c:strRef>
              <c:f>'PRegion&amp;Product'!$A$5:$A$10</c:f>
              <c:strCache>
                <c:ptCount val="5"/>
                <c:pt idx="0">
                  <c:v>Keyboard</c:v>
                </c:pt>
                <c:pt idx="1">
                  <c:v>Laptop</c:v>
                </c:pt>
                <c:pt idx="2">
                  <c:v>Monitor</c:v>
                </c:pt>
                <c:pt idx="3">
                  <c:v>Mouse</c:v>
                </c:pt>
                <c:pt idx="4">
                  <c:v>Printer</c:v>
                </c:pt>
              </c:strCache>
            </c:strRef>
          </c:cat>
          <c:val>
            <c:numRef>
              <c:f>'PRegion&amp;Product'!$D$5:$D$10</c:f>
              <c:numCache>
                <c:formatCode>General</c:formatCode>
                <c:ptCount val="5"/>
                <c:pt idx="0">
                  <c:v>50929849</c:v>
                </c:pt>
                <c:pt idx="1">
                  <c:v>79810467.222222224</c:v>
                </c:pt>
                <c:pt idx="2">
                  <c:v>64629077.222222224</c:v>
                </c:pt>
                <c:pt idx="3">
                  <c:v>81405856</c:v>
                </c:pt>
                <c:pt idx="4">
                  <c:v>60448009</c:v>
                </c:pt>
              </c:numCache>
            </c:numRef>
          </c:val>
          <c:extLst>
            <c:ext xmlns:c16="http://schemas.microsoft.com/office/drawing/2014/chart" uri="{C3380CC4-5D6E-409C-BE32-E72D297353CC}">
              <c16:uniqueId val="{0000000E-69C4-4AA5-8A42-A4E78DD44CC3}"/>
            </c:ext>
          </c:extLst>
        </c:ser>
        <c:ser>
          <c:idx val="3"/>
          <c:order val="3"/>
          <c:tx>
            <c:strRef>
              <c:f>'PRegion&amp;Product'!$E$3:$E$4</c:f>
              <c:strCache>
                <c:ptCount val="1"/>
                <c:pt idx="0">
                  <c:v>Surabaya</c:v>
                </c:pt>
              </c:strCache>
            </c:strRef>
          </c:tx>
          <c:spPr>
            <a:solidFill>
              <a:schemeClr val="accent4"/>
            </a:solidFill>
            <a:ln>
              <a:noFill/>
            </a:ln>
            <a:effectLst/>
          </c:spPr>
          <c:invertIfNegative val="0"/>
          <c:cat>
            <c:strRef>
              <c:f>'PRegion&amp;Product'!$A$5:$A$10</c:f>
              <c:strCache>
                <c:ptCount val="5"/>
                <c:pt idx="0">
                  <c:v>Keyboard</c:v>
                </c:pt>
                <c:pt idx="1">
                  <c:v>Laptop</c:v>
                </c:pt>
                <c:pt idx="2">
                  <c:v>Monitor</c:v>
                </c:pt>
                <c:pt idx="3">
                  <c:v>Mouse</c:v>
                </c:pt>
                <c:pt idx="4">
                  <c:v>Printer</c:v>
                </c:pt>
              </c:strCache>
            </c:strRef>
          </c:cat>
          <c:val>
            <c:numRef>
              <c:f>'PRegion&amp;Product'!$E$5:$E$10</c:f>
              <c:numCache>
                <c:formatCode>General</c:formatCode>
                <c:ptCount val="5"/>
                <c:pt idx="0">
                  <c:v>35435746.149999999</c:v>
                </c:pt>
                <c:pt idx="1">
                  <c:v>78647476.150000006</c:v>
                </c:pt>
                <c:pt idx="2">
                  <c:v>32252291</c:v>
                </c:pt>
                <c:pt idx="3">
                  <c:v>40155644</c:v>
                </c:pt>
                <c:pt idx="4">
                  <c:v>20526448</c:v>
                </c:pt>
              </c:numCache>
            </c:numRef>
          </c:val>
          <c:extLst>
            <c:ext xmlns:c16="http://schemas.microsoft.com/office/drawing/2014/chart" uri="{C3380CC4-5D6E-409C-BE32-E72D297353CC}">
              <c16:uniqueId val="{0000000F-69C4-4AA5-8A42-A4E78DD44CC3}"/>
            </c:ext>
          </c:extLst>
        </c:ser>
        <c:dLbls>
          <c:showLegendKey val="0"/>
          <c:showVal val="0"/>
          <c:showCatName val="0"/>
          <c:showSerName val="0"/>
          <c:showPercent val="0"/>
          <c:showBubbleSize val="0"/>
        </c:dLbls>
        <c:gapWidth val="150"/>
        <c:overlap val="100"/>
        <c:axId val="985737999"/>
        <c:axId val="918662847"/>
      </c:barChart>
      <c:catAx>
        <c:axId val="9857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18662847"/>
        <c:crosses val="autoZero"/>
        <c:auto val="1"/>
        <c:lblAlgn val="ctr"/>
        <c:lblOffset val="100"/>
        <c:noMultiLvlLbl val="0"/>
      </c:catAx>
      <c:valAx>
        <c:axId val="91866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85737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[Portfolio-CleanEnrichAnalyze_1.xlsx]PRegion&amp;Date!PivotTable2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Profit</a:t>
            </a:r>
            <a:r>
              <a:rPr lang="en-GB" b="1" baseline="0"/>
              <a:t> by Region &amp;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lineChart>
        <c:grouping val="standard"/>
        <c:varyColors val="0"/>
        <c:ser>
          <c:idx val="0"/>
          <c:order val="0"/>
          <c:tx>
            <c:strRef>
              <c:f>'PRegion&amp;Date'!$B$3:$B$4</c:f>
              <c:strCache>
                <c:ptCount val="1"/>
                <c:pt idx="0">
                  <c:v>Jakarta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'PRegion&amp;Date'!$A$5:$A$9</c:f>
              <c:strCache>
                <c:ptCount val="4"/>
                <c:pt idx="0">
                  <c:v>Jan</c:v>
                </c:pt>
                <c:pt idx="1">
                  <c:v>Feb</c:v>
                </c:pt>
                <c:pt idx="2">
                  <c:v>Mar</c:v>
                </c:pt>
                <c:pt idx="3">
                  <c:v>Apr</c:v>
                </c:pt>
              </c:strCache>
            </c:strRef>
          </c:cat>
          <c:val>
            <c:numRef>
              <c:f>'PRegion&amp;Date'!$B$5:$B$9</c:f>
              <c:numCache>
                <c:formatCode>General</c:formatCode>
                <c:ptCount val="4"/>
                <c:pt idx="0">
                  <c:v>70389012.680000007</c:v>
                </c:pt>
                <c:pt idx="1">
                  <c:v>59180178</c:v>
                </c:pt>
                <c:pt idx="2">
                  <c:v>81255893</c:v>
                </c:pt>
                <c:pt idx="3">
                  <c:v>8188004</c:v>
                </c:pt>
              </c:numCache>
            </c:numRef>
          </c:val>
          <c:smooth val="0"/>
          <c:extLst>
            <c:ext xmlns:c16="http://schemas.microsoft.com/office/drawing/2014/chart" uri="{C3380CC4-5D6E-409C-BE32-E72D297353CC}">
              <c16:uniqueId val="{00000000-B27F-48A0-8F61-B9E13875EC09}"/>
            </c:ext>
          </c:extLst>
        </c:ser>
        <c:ser>
          <c:idx val="1"/>
          <c:order val="1"/>
          <c:tx>
            <c:strRef>
              <c:f>'PRegion&amp;Date'!$C$3:$C$4</c:f>
              <c:strCache>
                <c:ptCount val="1"/>
                <c:pt idx="0">
                  <c:v>Makassar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'PRegion&amp;Date'!$A$5:$A$9</c:f>
              <c:strCache>
                <c:ptCount val="4"/>
                <c:pt idx="0">
                  <c:v>Jan</c:v>
                </c:pt>
                <c:pt idx="1">
                  <c:v>Feb</c:v>
                </c:pt>
                <c:pt idx="2">
                  <c:v>Mar</c:v>
                </c:pt>
                <c:pt idx="3">
                  <c:v>Apr</c:v>
                </c:pt>
              </c:strCache>
            </c:strRef>
          </c:cat>
          <c:val>
            <c:numRef>
              <c:f>'PRegion&amp;Date'!$C$5:$C$9</c:f>
              <c:numCache>
                <c:formatCode>General</c:formatCode>
                <c:ptCount val="4"/>
                <c:pt idx="0">
                  <c:v>47453938</c:v>
                </c:pt>
                <c:pt idx="1">
                  <c:v>81622400</c:v>
                </c:pt>
                <c:pt idx="2">
                  <c:v>90568974</c:v>
                </c:pt>
                <c:pt idx="3">
                  <c:v>34828955</c:v>
                </c:pt>
              </c:numCache>
            </c:numRef>
          </c:val>
          <c:smooth val="0"/>
          <c:extLst>
            <c:ext xmlns:c16="http://schemas.microsoft.com/office/drawing/2014/chart" uri="{C3380CC4-5D6E-409C-BE32-E72D297353CC}">
              <c16:uniqueId val="{00000013-B27F-48A0-8F61-B9E13875EC09}"/>
            </c:ext>
          </c:extLst>
        </c:ser>
        <c:ser>
          <c:idx val="2"/>
          <c:order val="2"/>
          <c:tx>
            <c:strRef>
              <c:f>'PRegion&amp;Date'!$D$3:$D$4</c:f>
              <c:strCache>
                <c:ptCount val="1"/>
                <c:pt idx="0">
                  <c:v>Medan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'PRegion&amp;Date'!$A$5:$A$9</c:f>
              <c:strCache>
                <c:ptCount val="4"/>
                <c:pt idx="0">
                  <c:v>Jan</c:v>
                </c:pt>
                <c:pt idx="1">
                  <c:v>Feb</c:v>
                </c:pt>
                <c:pt idx="2">
                  <c:v>Mar</c:v>
                </c:pt>
                <c:pt idx="3">
                  <c:v>Apr</c:v>
                </c:pt>
              </c:strCache>
            </c:strRef>
          </c:cat>
          <c:val>
            <c:numRef>
              <c:f>'PRegion&amp;Date'!$D$5:$D$9</c:f>
              <c:numCache>
                <c:formatCode>General</c:formatCode>
                <c:ptCount val="4"/>
                <c:pt idx="0">
                  <c:v>97796457.444444448</c:v>
                </c:pt>
                <c:pt idx="1">
                  <c:v>80429553</c:v>
                </c:pt>
                <c:pt idx="2">
                  <c:v>90797166</c:v>
                </c:pt>
                <c:pt idx="3">
                  <c:v>68200082</c:v>
                </c:pt>
              </c:numCache>
            </c:numRef>
          </c:val>
          <c:smooth val="0"/>
          <c:extLst>
            <c:ext xmlns:c16="http://schemas.microsoft.com/office/drawing/2014/chart" uri="{C3380CC4-5D6E-409C-BE32-E72D297353CC}">
              <c16:uniqueId val="{00000014-B27F-48A0-8F61-B9E13875EC09}"/>
            </c:ext>
          </c:extLst>
        </c:ser>
        <c:ser>
          <c:idx val="3"/>
          <c:order val="3"/>
          <c:tx>
            <c:strRef>
              <c:f>'PRegion&amp;Date'!$E$3:$E$4</c:f>
              <c:strCache>
                <c:ptCount val="1"/>
                <c:pt idx="0">
                  <c:v>Surabaya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'PRegion&amp;Date'!$A$5:$A$9</c:f>
              <c:strCache>
                <c:ptCount val="4"/>
                <c:pt idx="0">
                  <c:v>Jan</c:v>
                </c:pt>
                <c:pt idx="1">
                  <c:v>Feb</c:v>
                </c:pt>
                <c:pt idx="2">
                  <c:v>Mar</c:v>
                </c:pt>
                <c:pt idx="3">
                  <c:v>Apr</c:v>
                </c:pt>
              </c:strCache>
            </c:strRef>
          </c:cat>
          <c:val>
            <c:numRef>
              <c:f>'PRegion&amp;Date'!$E$5:$E$9</c:f>
              <c:numCache>
                <c:formatCode>General</c:formatCode>
                <c:ptCount val="4"/>
                <c:pt idx="0">
                  <c:v>61610296.299999997</c:v>
                </c:pt>
                <c:pt idx="1">
                  <c:v>99369558</c:v>
                </c:pt>
                <c:pt idx="2">
                  <c:v>46037751</c:v>
                </c:pt>
              </c:numCache>
            </c:numRef>
          </c:val>
          <c:smooth val="0"/>
          <c:extLst>
            <c:ext xmlns:c16="http://schemas.microsoft.com/office/drawing/2014/chart" uri="{C3380CC4-5D6E-409C-BE32-E72D297353CC}">
              <c16:uniqueId val="{00000015-B27F-48A0-8F61-B9E13875EC09}"/>
            </c:ext>
          </c:extLst>
        </c:ser>
        <c:dLbls>
          <c:showLegendKey val="0"/>
          <c:showVal val="0"/>
          <c:showCatName val="0"/>
          <c:showSerName val="0"/>
          <c:showPercent val="0"/>
          <c:showBubbleSize val="0"/>
        </c:dLbls>
        <c:marker val="1"/>
        <c:smooth val="0"/>
        <c:axId val="980886079"/>
        <c:axId val="985969183"/>
      </c:lineChart>
      <c:catAx>
        <c:axId val="980886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85969183"/>
        <c:crosses val="autoZero"/>
        <c:auto val="1"/>
        <c:lblAlgn val="ctr"/>
        <c:lblOffset val="100"/>
        <c:noMultiLvlLbl val="0"/>
      </c:catAx>
      <c:valAx>
        <c:axId val="98596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80886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623887</xdr:colOff>
      <xdr:row>2</xdr:row>
      <xdr:rowOff>19049</xdr:rowOff>
    </xdr:from>
    <xdr:to>
      <xdr:col>13</xdr:col>
      <xdr:colOff>285750</xdr:colOff>
      <xdr:row>13</xdr:row>
      <xdr:rowOff>180974</xdr:rowOff>
    </xdr:to>
    <xdr:graphicFrame macro="">
      <xdr:nvGraphicFramePr>
        <xdr:cNvPr id="2" name="Chart 1">
          <a:extLst>
            <a:ext uri="{FF2B5EF4-FFF2-40B4-BE49-F238E27FC236}">
              <a16:creationId xmlns:a16="http://schemas.microsoft.com/office/drawing/2014/main" id="{11C08F82-90F4-4EE2-97DD-DE2387848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500062</xdr:colOff>
      <xdr:row>2</xdr:row>
      <xdr:rowOff>28574</xdr:rowOff>
    </xdr:from>
    <xdr:to>
      <xdr:col>12</xdr:col>
      <xdr:colOff>561975</xdr:colOff>
      <xdr:row>16</xdr:row>
      <xdr:rowOff>114299</xdr:rowOff>
    </xdr:to>
    <xdr:graphicFrame macro="">
      <xdr:nvGraphicFramePr>
        <xdr:cNvPr id="2" name="Chart 1">
          <a:extLst>
            <a:ext uri="{FF2B5EF4-FFF2-40B4-BE49-F238E27FC236}">
              <a16:creationId xmlns:a16="http://schemas.microsoft.com/office/drawing/2014/main" id="{C0590341-7F71-4F76-A49D-64D969A6D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681037</xdr:colOff>
      <xdr:row>2</xdr:row>
      <xdr:rowOff>9525</xdr:rowOff>
    </xdr:from>
    <xdr:to>
      <xdr:col>10</xdr:col>
      <xdr:colOff>433387</xdr:colOff>
      <xdr:row>16</xdr:row>
      <xdr:rowOff>85725</xdr:rowOff>
    </xdr:to>
    <xdr:graphicFrame macro="">
      <xdr:nvGraphicFramePr>
        <xdr:cNvPr id="2" name="Chart 1">
          <a:extLst>
            <a:ext uri="{FF2B5EF4-FFF2-40B4-BE49-F238E27FC236}">
              <a16:creationId xmlns:a16="http://schemas.microsoft.com/office/drawing/2014/main" id="{117EF999-55E8-4DAB-98B5-509BF388C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680356</xdr:colOff>
      <xdr:row>5</xdr:row>
      <xdr:rowOff>0</xdr:rowOff>
    </xdr:from>
    <xdr:to>
      <xdr:col>23</xdr:col>
      <xdr:colOff>0</xdr:colOff>
      <xdr:row>15</xdr:row>
      <xdr:rowOff>0</xdr:rowOff>
    </xdr:to>
    <xdr:graphicFrame macro="">
      <xdr:nvGraphicFramePr>
        <xdr:cNvPr id="2" name="Chart 1">
          <a:extLst>
            <a:ext uri="{FF2B5EF4-FFF2-40B4-BE49-F238E27FC236}">
              <a16:creationId xmlns:a16="http://schemas.microsoft.com/office/drawing/2014/main" id="{D5504BC0-146E-41E9-A3BC-A348D152C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xdr:row>
      <xdr:rowOff>1360</xdr:rowOff>
    </xdr:from>
    <xdr:to>
      <xdr:col>14</xdr:col>
      <xdr:colOff>0</xdr:colOff>
      <xdr:row>31</xdr:row>
      <xdr:rowOff>0</xdr:rowOff>
    </xdr:to>
    <xdr:graphicFrame macro="">
      <xdr:nvGraphicFramePr>
        <xdr:cNvPr id="3" name="Chart 2">
          <a:extLst>
            <a:ext uri="{FF2B5EF4-FFF2-40B4-BE49-F238E27FC236}">
              <a16:creationId xmlns:a16="http://schemas.microsoft.com/office/drawing/2014/main" id="{92A06907-A318-4AB9-B080-7D3F34806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680356</xdr:colOff>
      <xdr:row>16</xdr:row>
      <xdr:rowOff>1</xdr:rowOff>
    </xdr:from>
    <xdr:to>
      <xdr:col>22</xdr:col>
      <xdr:colOff>680356</xdr:colOff>
      <xdr:row>31</xdr:row>
      <xdr:rowOff>1</xdr:rowOff>
    </xdr:to>
    <xdr:graphicFrame macro="">
      <xdr:nvGraphicFramePr>
        <xdr:cNvPr id="4" name="Chart 3">
          <a:extLst>
            <a:ext uri="{FF2B5EF4-FFF2-40B4-BE49-F238E27FC236}">
              <a16:creationId xmlns:a16="http://schemas.microsoft.com/office/drawing/2014/main" id="{2BEBDFE3-131C-4968-96EA-7B4D7ABCA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65314</xdr:colOff>
      <xdr:row>12</xdr:row>
      <xdr:rowOff>167366</xdr:rowOff>
    </xdr:from>
    <xdr:to>
      <xdr:col>3</xdr:col>
      <xdr:colOff>4243</xdr:colOff>
      <xdr:row>21</xdr:row>
      <xdr:rowOff>44901</xdr:rowOff>
    </xdr:to>
    <mc:AlternateContent xmlns:mc="http://schemas.openxmlformats.org/markup-compatibility/2006" xmlns:a14="http://schemas.microsoft.com/office/drawing/2010/main">
      <mc:Choice Requires="a14">
        <xdr:graphicFrame macro="">
          <xdr:nvGraphicFramePr>
            <xdr:cNvPr id="5" name="Product_Category">
              <a:extLst>
                <a:ext uri="{FF2B5EF4-FFF2-40B4-BE49-F238E27FC236}">
                  <a16:creationId xmlns:a16="http://schemas.microsoft.com/office/drawing/2014/main" id="{E3E32941-799B-4953-8546-3EC25C51CA1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5314" y="2453366"/>
              <a:ext cx="1980000" cy="159203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69395</xdr:colOff>
      <xdr:row>21</xdr:row>
      <xdr:rowOff>140153</xdr:rowOff>
    </xdr:from>
    <xdr:to>
      <xdr:col>3</xdr:col>
      <xdr:colOff>8324</xdr:colOff>
      <xdr:row>28</xdr:row>
      <xdr:rowOff>99331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440C68B-E631-4C2B-9B8C-9278EB5756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395" y="4140653"/>
              <a:ext cx="1980000" cy="129267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5</xdr:row>
      <xdr:rowOff>0</xdr:rowOff>
    </xdr:from>
    <xdr:to>
      <xdr:col>2</xdr:col>
      <xdr:colOff>673714</xdr:colOff>
      <xdr:row>12</xdr:row>
      <xdr:rowOff>38100</xdr:rowOff>
    </xdr:to>
    <mc:AlternateContent xmlns:mc="http://schemas.openxmlformats.org/markup-compatibility/2006" xmlns:tsle="http://schemas.microsoft.com/office/drawing/2012/timeslicer">
      <mc:Choice Requires="tsle">
        <xdr:graphicFrame macro="">
          <xdr:nvGraphicFramePr>
            <xdr:cNvPr id="7" name="Transaction_Date">
              <a:extLst>
                <a:ext uri="{FF2B5EF4-FFF2-40B4-BE49-F238E27FC236}">
                  <a16:creationId xmlns:a16="http://schemas.microsoft.com/office/drawing/2014/main" id="{54567D90-1B20-4D99-BD87-6A73CF2CEAE0}"/>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54428" y="952500"/>
              <a:ext cx="1980000" cy="1371600"/>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TITUDE" refreshedDate="46166.921086342591" createdVersion="6" refreshedVersion="6" minRefreshableVersion="3" recordCount="100" xr:uid="{54C30DFB-BBC9-4ED4-B919-7A6D386AC962}">
  <cacheSource type="worksheet">
    <worksheetSource name="Table1"/>
  </cacheSource>
  <cacheFields count="10">
    <cacheField name="Order_ID" numFmtId="0">
      <sharedItems/>
    </cacheField>
    <cacheField name="Customer_Name" numFmtId="0">
      <sharedItems/>
    </cacheField>
    <cacheField name="Product_Code" numFmtId="0">
      <sharedItems/>
    </cacheField>
    <cacheField name="Product_Name" numFmtId="0">
      <sharedItems/>
    </cacheField>
    <cacheField name="Product_Category" numFmtId="0">
      <sharedItems count="5">
        <s v="Monitor"/>
        <s v="Keyboard"/>
        <s v="Laptop"/>
        <s v="Printer"/>
        <s v="Mouse"/>
      </sharedItems>
    </cacheField>
    <cacheField name="Transaction_Date" numFmtId="165">
      <sharedItems containsSemiMixedTypes="0" containsNonDate="0" containsDate="1" containsString="0" minDate="2026-01-01T00:00:00" maxDate="2026-04-11T00:00:00" count="1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sharedItems>
      <fieldGroup par="9" base="5">
        <rangePr groupBy="days" startDate="2026-01-01T00:00:00" endDate="2026-04-1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6"/>
        </groupItems>
      </fieldGroup>
    </cacheField>
    <cacheField name="Sales_Value" numFmtId="3">
      <sharedItems containsSemiMixedTypes="0" containsString="0" containsNumber="1" minValue="248984" maxValue="19722899"/>
    </cacheField>
    <cacheField name="Region_Code" numFmtId="0">
      <sharedItems/>
    </cacheField>
    <cacheField name="Region" numFmtId="0">
      <sharedItems count="4">
        <s v="Medan"/>
        <s v="Surabaya"/>
        <s v="Jakarta"/>
        <s v="Makassar"/>
      </sharedItems>
    </cacheField>
    <cacheField name="Months" numFmtId="0" databaseField="0">
      <fieldGroup base="5">
        <rangePr groupBy="months" startDate="2026-01-01T00:00:00" endDate="2026-04-11T00:00:00"/>
        <groupItems count="14">
          <s v="&lt;01/01/2026"/>
          <s v="Jan"/>
          <s v="Feb"/>
          <s v="Mar"/>
          <s v="Apr"/>
          <s v="May"/>
          <s v="Jun"/>
          <s v="Jul"/>
          <s v="Aug"/>
          <s v="Sep"/>
          <s v="Oct"/>
          <s v="Nov"/>
          <s v="Dec"/>
          <s v="&gt;11/04/2026"/>
        </groupItems>
      </fieldGroup>
    </cacheField>
  </cacheFields>
  <extLst>
    <ext xmlns:x14="http://schemas.microsoft.com/office/spreadsheetml/2009/9/main" uri="{725AE2AE-9491-48be-B2B4-4EB974FC3084}">
      <x14:pivotCacheDefinition pivotCacheId="363772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RX518"/>
    <s v="Andi Wijaya"/>
    <s v="KD-MON-02"/>
    <s v="Monitor 27 inch"/>
    <x v="0"/>
    <x v="0"/>
    <n v="11628388.222222222"/>
    <s v="R-03"/>
    <x v="0"/>
  </r>
  <r>
    <s v="TRX833"/>
    <s v="Budi Santoso"/>
    <s v="KD-KBD-02"/>
    <s v="Keyboard Wireless"/>
    <x v="1"/>
    <x v="1"/>
    <n v="9409891.1500000004"/>
    <s v="R-02"/>
    <x v="1"/>
  </r>
  <r>
    <s v="TRX638"/>
    <s v="Eko Purnomo"/>
    <s v="KD-LPT-02"/>
    <s v="Laptop RTY"/>
    <x v="2"/>
    <x v="2"/>
    <n v="9409891.1500000004"/>
    <s v="R-02"/>
    <x v="1"/>
  </r>
  <r>
    <s v="TRX196"/>
    <s v="Andi Wijaya"/>
    <s v="KD-KBD-02"/>
    <s v="Keyboard Wireless"/>
    <x v="1"/>
    <x v="3"/>
    <n v="8111595.8399999999"/>
    <s v="R-01"/>
    <x v="2"/>
  </r>
  <r>
    <s v="TRX370"/>
    <s v="Siti Aminah"/>
    <s v="KD-LPT-03"/>
    <s v="Laptop QWE"/>
    <x v="2"/>
    <x v="4"/>
    <n v="8111595.8399999999"/>
    <s v="R-01"/>
    <x v="2"/>
  </r>
  <r>
    <s v="TRX467"/>
    <s v="Eko Purnomo"/>
    <s v="KD-LPT-02"/>
    <s v="Laptop RTY"/>
    <x v="2"/>
    <x v="5"/>
    <n v="11628388.222222222"/>
    <s v="R-03"/>
    <x v="0"/>
  </r>
  <r>
    <s v="TRX159"/>
    <s v="Andi Wijaya"/>
    <s v="KD-KBD-01"/>
    <s v="Keyboard Mechanical"/>
    <x v="1"/>
    <x v="6"/>
    <n v="7604852"/>
    <s v="R-04"/>
    <x v="3"/>
  </r>
  <r>
    <s v="TRX747"/>
    <s v="Eko Purnomo"/>
    <s v="KD-LPT-02"/>
    <s v="Laptop RTY"/>
    <x v="2"/>
    <x v="7"/>
    <n v="5181505"/>
    <s v="R-01"/>
    <x v="2"/>
  </r>
  <r>
    <s v="TRX823"/>
    <s v="Eko Purnomo"/>
    <s v="KD-LPT-03"/>
    <s v="Laptop QWE"/>
    <x v="2"/>
    <x v="8"/>
    <n v="14153367"/>
    <s v="R-04"/>
    <x v="3"/>
  </r>
  <r>
    <s v="TRX821"/>
    <s v="Budi Santoso"/>
    <s v="KD-LPT-01"/>
    <s v="Laptop XYZ"/>
    <x v="2"/>
    <x v="9"/>
    <n v="18744107"/>
    <s v="R-01"/>
    <x v="2"/>
  </r>
  <r>
    <s v="TRX658"/>
    <s v="Unknown"/>
    <s v="KD-LPT-02"/>
    <s v="Laptop RTY"/>
    <x v="2"/>
    <x v="10"/>
    <n v="4721373"/>
    <s v="R-02"/>
    <x v="1"/>
  </r>
  <r>
    <s v="TRX804"/>
    <s v="Andi Wijaya"/>
    <s v="KD-KBD-01"/>
    <s v="Keyboard Mechanical"/>
    <x v="1"/>
    <x v="11"/>
    <n v="6219877"/>
    <s v="R-02"/>
    <x v="1"/>
  </r>
  <r>
    <s v="TRX261"/>
    <s v="Budi Santoso"/>
    <s v="KD-KBD-01"/>
    <s v="Keyboard Mechanical"/>
    <x v="1"/>
    <x v="12"/>
    <n v="3544769"/>
    <s v="R-03"/>
    <x v="0"/>
  </r>
  <r>
    <s v="TRX919"/>
    <s v="Eko Purnomo"/>
    <s v="KD-PRN-01"/>
    <s v="Printer Laser"/>
    <x v="3"/>
    <x v="13"/>
    <n v="9380351"/>
    <s v="R-02"/>
    <x v="1"/>
  </r>
  <r>
    <s v="TRX417"/>
    <s v="Andi Wijaya"/>
    <s v="KD-LPT-03"/>
    <s v="Laptop QWE"/>
    <x v="2"/>
    <x v="14"/>
    <n v="303355"/>
    <s v="R-02"/>
    <x v="1"/>
  </r>
  <r>
    <s v="TRX861"/>
    <s v="Siti Aminah"/>
    <s v="KD-PRN-02"/>
    <s v="Printer Inkjet"/>
    <x v="3"/>
    <x v="15"/>
    <n v="16164436"/>
    <s v="R-01"/>
    <x v="2"/>
  </r>
  <r>
    <s v="TRX427"/>
    <s v="Eko Purnomo"/>
    <s v="KD-MON-02"/>
    <s v="Monitor 27 inch"/>
    <x v="0"/>
    <x v="16"/>
    <n v="1462752"/>
    <s v="R-01"/>
    <x v="2"/>
  </r>
  <r>
    <s v="TRX956"/>
    <s v="Siti Aminah"/>
    <s v="KD-MON-01"/>
    <s v="Monitor 24 inch"/>
    <x v="0"/>
    <x v="17"/>
    <n v="9984633"/>
    <s v="R-01"/>
    <x v="2"/>
  </r>
  <r>
    <s v="TRX114"/>
    <s v="Dewi Lestari"/>
    <s v="KD-LPT-02"/>
    <s v="Laptop RTY"/>
    <x v="2"/>
    <x v="18"/>
    <n v="5864789"/>
    <s v="R-02"/>
    <x v="1"/>
  </r>
  <r>
    <s v="TRX830"/>
    <s v="Andi Wijaya"/>
    <s v="KD-LPT-03"/>
    <s v="Laptop QWE"/>
    <x v="2"/>
    <x v="19"/>
    <n v="9895979"/>
    <s v="R-03"/>
    <x v="0"/>
  </r>
  <r>
    <s v="TRX398"/>
    <s v="Eko Purnomo"/>
    <s v="KD-MON-01"/>
    <s v="Monitor 24 inch"/>
    <x v="0"/>
    <x v="20"/>
    <n v="9505648"/>
    <s v="R-04"/>
    <x v="3"/>
  </r>
  <r>
    <s v="TRX769"/>
    <s v="Siti Aminah"/>
    <s v="KD-LPT-01"/>
    <s v="Laptop XYZ"/>
    <x v="2"/>
    <x v="21"/>
    <n v="5943066"/>
    <s v="R-03"/>
    <x v="0"/>
  </r>
  <r>
    <s v="TRX363"/>
    <s v="Dewi Lestari"/>
    <s v="KD-MON-01"/>
    <s v="Monitor 24 inch"/>
    <x v="0"/>
    <x v="22"/>
    <n v="10842490"/>
    <s v="R-04"/>
    <x v="3"/>
  </r>
  <r>
    <s v="TRX698"/>
    <s v="Eko Purnomo"/>
    <s v="KD-LPT-02"/>
    <s v="Laptop RTY"/>
    <x v="2"/>
    <x v="23"/>
    <n v="6313790"/>
    <s v="R-03"/>
    <x v="0"/>
  </r>
  <r>
    <s v="TRX999"/>
    <s v="Dewi Lestari"/>
    <s v="KD-MSE-01"/>
    <s v="Mouse Optik A"/>
    <x v="4"/>
    <x v="24"/>
    <n v="13437723"/>
    <s v="R-02"/>
    <x v="1"/>
  </r>
  <r>
    <s v="TRX968"/>
    <s v="Dewi Lestari"/>
    <s v="KD-LPT-03"/>
    <s v="Laptop QWE"/>
    <x v="2"/>
    <x v="25"/>
    <n v="12848637"/>
    <s v="R-03"/>
    <x v="0"/>
  </r>
  <r>
    <s v="TRX140"/>
    <s v="Dewi Lestari"/>
    <s v="KD-MSE-01"/>
    <s v="Mouse Optik A"/>
    <x v="4"/>
    <x v="26"/>
    <n v="17061870"/>
    <s v="R-03"/>
    <x v="0"/>
  </r>
  <r>
    <s v="TRX421"/>
    <s v="Siti Aminah"/>
    <s v="KD-KBD-01"/>
    <s v="Keyboard Mechanical"/>
    <x v="1"/>
    <x v="27"/>
    <n v="5347581"/>
    <s v="R-04"/>
    <x v="3"/>
  </r>
  <r>
    <s v="TRX120"/>
    <s v="Siti Aminah"/>
    <s v="KD-PRN-01"/>
    <s v="Printer Laser"/>
    <x v="3"/>
    <x v="28"/>
    <n v="18931570"/>
    <s v="R-03"/>
    <x v="0"/>
  </r>
  <r>
    <s v="TRX941"/>
    <s v="Andi Wijaya"/>
    <s v="KD-LPT-01"/>
    <s v="Laptop XYZ"/>
    <x v="2"/>
    <x v="29"/>
    <n v="2628388"/>
    <s v="R-01"/>
    <x v="2"/>
  </r>
  <r>
    <s v="TRX573"/>
    <s v="Eko Purnomo"/>
    <s v="KD-LPT-02"/>
    <s v="Laptop RTY"/>
    <x v="2"/>
    <x v="30"/>
    <n v="2863046"/>
    <s v="R-02"/>
    <x v="1"/>
  </r>
  <r>
    <s v="TRX915"/>
    <s v="Siti Aminah"/>
    <s v="KD-MSE-02"/>
    <s v="Mouse Gaming B"/>
    <x v="4"/>
    <x v="31"/>
    <n v="11159014"/>
    <s v="R-02"/>
    <x v="1"/>
  </r>
  <r>
    <s v="TRX422"/>
    <s v="Eko Purnomo"/>
    <s v="KD-MSE-01"/>
    <s v="Mouse Optik A"/>
    <x v="4"/>
    <x v="32"/>
    <n v="15546051"/>
    <s v="R-03"/>
    <x v="0"/>
  </r>
  <r>
    <s v="TRX355"/>
    <s v="Dewi Lestari"/>
    <s v="KD-KBD-02"/>
    <s v="Keyboard Wireless"/>
    <x v="1"/>
    <x v="33"/>
    <n v="3585357"/>
    <s v="R-04"/>
    <x v="3"/>
  </r>
  <r>
    <s v="TRX925"/>
    <s v="Andi Wijaya"/>
    <s v="KD-MON-02"/>
    <s v="Monitor 27 inch"/>
    <x v="0"/>
    <x v="34"/>
    <n v="16133681"/>
    <s v="R-02"/>
    <x v="1"/>
  </r>
  <r>
    <s v="TRX368"/>
    <s v="Budi Santoso"/>
    <s v="KD-KBD-02"/>
    <s v="Keyboard Wireless"/>
    <x v="1"/>
    <x v="35"/>
    <n v="11384121"/>
    <s v="R-02"/>
    <x v="1"/>
  </r>
  <r>
    <s v="TRX559"/>
    <s v="Andi Wijaya"/>
    <s v="KD-KBD-02"/>
    <s v="Keyboard Wireless"/>
    <x v="1"/>
    <x v="36"/>
    <n v="1665689"/>
    <s v="R-02"/>
    <x v="1"/>
  </r>
  <r>
    <s v="TRX988"/>
    <s v="Siti Aminah"/>
    <s v="KD-MSE-02"/>
    <s v="Mouse Gaming B"/>
    <x v="4"/>
    <x v="37"/>
    <n v="17045364"/>
    <s v="R-04"/>
    <x v="3"/>
  </r>
  <r>
    <s v="TRX723"/>
    <s v="Dewi Lestari"/>
    <s v="KD-MSE-01"/>
    <s v="Mouse Optik A"/>
    <x v="4"/>
    <x v="38"/>
    <n v="18802881"/>
    <s v="R-03"/>
    <x v="0"/>
  </r>
  <r>
    <s v="TRX805"/>
    <s v="Eko Purnomo"/>
    <s v="KD-MON-01"/>
    <s v="Monitor 24 inch"/>
    <x v="0"/>
    <x v="39"/>
    <n v="19722899"/>
    <s v="R-04"/>
    <x v="3"/>
  </r>
  <r>
    <s v="TRX393"/>
    <s v="Dewi Lestari"/>
    <s v="KD-MSE-02"/>
    <s v="Mouse Gaming B"/>
    <x v="4"/>
    <x v="40"/>
    <n v="11592366"/>
    <s v="R-03"/>
    <x v="0"/>
  </r>
  <r>
    <s v="TRX391"/>
    <s v="Siti Aminah"/>
    <s v="KD-MSE-02"/>
    <s v="Mouse Gaming B"/>
    <x v="4"/>
    <x v="41"/>
    <n v="15558907"/>
    <s v="R-02"/>
    <x v="1"/>
  </r>
  <r>
    <s v="TRX413"/>
    <s v="Eko Purnomo"/>
    <s v="KD-MSE-02"/>
    <s v="Mouse Gaming B"/>
    <x v="4"/>
    <x v="42"/>
    <n v="2869995"/>
    <s v="R-01"/>
    <x v="2"/>
  </r>
  <r>
    <s v="TRX199"/>
    <s v="Eko Purnomo"/>
    <s v="KD-MON-02"/>
    <s v="Monitor 27 inch"/>
    <x v="0"/>
    <x v="43"/>
    <n v="13039420"/>
    <s v="R-02"/>
    <x v="1"/>
  </r>
  <r>
    <s v="TRX314"/>
    <s v="Budi Santoso"/>
    <s v="KD-PRN-01"/>
    <s v="Printer Laser"/>
    <x v="3"/>
    <x v="44"/>
    <n v="13679854"/>
    <s v="R-04"/>
    <x v="3"/>
  </r>
  <r>
    <s v="TRX451"/>
    <s v="Siti Aminah"/>
    <s v="KD-PRN-01"/>
    <s v="Printer Laser"/>
    <x v="3"/>
    <x v="45"/>
    <n v="6597986"/>
    <s v="R-01"/>
    <x v="2"/>
  </r>
  <r>
    <s v="TRX500"/>
    <s v="Eko Purnomo"/>
    <s v="KD-LPT-02"/>
    <s v="Laptop RTY"/>
    <x v="2"/>
    <x v="46"/>
    <n v="13387277"/>
    <s v="R-01"/>
    <x v="2"/>
  </r>
  <r>
    <s v="TRX472"/>
    <s v="Andi Wijaya"/>
    <s v="KD-PRN-02"/>
    <s v="Printer Inkjet"/>
    <x v="3"/>
    <x v="47"/>
    <n v="2070928"/>
    <s v="R-03"/>
    <x v="0"/>
  </r>
  <r>
    <s v="TRX911"/>
    <s v="Siti Aminah"/>
    <s v="KD-MON-01"/>
    <s v="Monitor 24 inch"/>
    <x v="0"/>
    <x v="48"/>
    <n v="4355299"/>
    <s v="R-03"/>
    <x v="0"/>
  </r>
  <r>
    <s v="TRX145"/>
    <s v="Siti Aminah"/>
    <s v="KD-PRN-02"/>
    <s v="Printer Inkjet"/>
    <x v="3"/>
    <x v="49"/>
    <n v="11146097"/>
    <s v="R-02"/>
    <x v="1"/>
  </r>
  <r>
    <s v="TRX832"/>
    <s v="Andi Wijaya"/>
    <s v="KD-KBD-01"/>
    <s v="Keyboard Mechanical"/>
    <x v="1"/>
    <x v="50"/>
    <n v="14291261"/>
    <s v="R-01"/>
    <x v="2"/>
  </r>
  <r>
    <s v="TRX368"/>
    <s v="Budi Santoso"/>
    <s v="KD-LPT-02"/>
    <s v="Laptop RTY"/>
    <x v="2"/>
    <x v="51"/>
    <n v="19282629"/>
    <s v="R-02"/>
    <x v="1"/>
  </r>
  <r>
    <s v="TRX398"/>
    <s v="Eko Purnomo"/>
    <s v="KD-KBD-02"/>
    <s v="Keyboard Wireless"/>
    <x v="1"/>
    <x v="52"/>
    <n v="471836"/>
    <s v="R-04"/>
    <x v="3"/>
  </r>
  <r>
    <s v="TRX224"/>
    <s v="Eko Purnomo"/>
    <s v="KD-MSE-02"/>
    <s v="Mouse Gaming B"/>
    <x v="4"/>
    <x v="53"/>
    <n v="3784702"/>
    <s v="R-01"/>
    <x v="2"/>
  </r>
  <r>
    <s v="TRX876"/>
    <s v="Eko Purnomo"/>
    <s v="KD-KBD-02"/>
    <s v="Keyboard Wireless"/>
    <x v="1"/>
    <x v="54"/>
    <n v="7481369"/>
    <s v="R-04"/>
    <x v="3"/>
  </r>
  <r>
    <s v="TRX269"/>
    <s v="Andi Wijaya"/>
    <s v="KD-PRN-02"/>
    <s v="Printer Inkjet"/>
    <x v="3"/>
    <x v="55"/>
    <n v="19276651"/>
    <s v="R-03"/>
    <x v="0"/>
  </r>
  <r>
    <s v="TRX154"/>
    <s v="Andi Wijaya"/>
    <s v="KD-PRN-02"/>
    <s v="Printer Inkjet"/>
    <x v="3"/>
    <x v="56"/>
    <n v="8785377"/>
    <s v="R-03"/>
    <x v="0"/>
  </r>
  <r>
    <s v="TRX874"/>
    <s v="Dewi Lestari"/>
    <s v="KD-MSE-01"/>
    <s v="Mouse Optik A"/>
    <x v="4"/>
    <x v="57"/>
    <n v="19635721"/>
    <s v="R-04"/>
    <x v="3"/>
  </r>
  <r>
    <s v="TRX285"/>
    <s v="Budi Santoso"/>
    <s v="KD-MON-01"/>
    <s v="Monitor 24 inch"/>
    <x v="0"/>
    <x v="58"/>
    <n v="18248957"/>
    <s v="R-01"/>
    <x v="2"/>
  </r>
  <r>
    <s v="TRX865"/>
    <s v="Dewi Lestari"/>
    <s v="KD-KBD-02"/>
    <s v="Keyboard Wireless"/>
    <x v="1"/>
    <x v="59"/>
    <n v="18024013"/>
    <s v="R-04"/>
    <x v="3"/>
  </r>
  <r>
    <s v="TRX471"/>
    <s v="Eko Purnomo"/>
    <s v="KD-LPT-03"/>
    <s v="Laptop QWE"/>
    <x v="2"/>
    <x v="60"/>
    <n v="3247262"/>
    <s v="R-01"/>
    <x v="2"/>
  </r>
  <r>
    <s v="TRX216"/>
    <s v="Siti Aminah"/>
    <s v="KD-PRN-01"/>
    <s v="Printer Laser"/>
    <x v="3"/>
    <x v="61"/>
    <n v="11173639"/>
    <s v="R-04"/>
    <x v="3"/>
  </r>
  <r>
    <s v="TRX317"/>
    <s v="Budi Santoso"/>
    <s v="KD-LPT-02"/>
    <s v="Laptop RTY"/>
    <x v="2"/>
    <x v="62"/>
    <n v="764685"/>
    <s v="R-04"/>
    <x v="3"/>
  </r>
  <r>
    <s v="TRX791"/>
    <s v="Eko Purnomo"/>
    <s v="KD-MON-01"/>
    <s v="Monitor 24 inch"/>
    <x v="0"/>
    <x v="63"/>
    <n v="3079190"/>
    <s v="R-02"/>
    <x v="1"/>
  </r>
  <r>
    <s v="TRX224"/>
    <s v="Andi Wijaya"/>
    <s v="KD-LPT-01"/>
    <s v="Laptop XYZ"/>
    <x v="2"/>
    <x v="64"/>
    <n v="1207293"/>
    <s v="R-01"/>
    <x v="2"/>
  </r>
  <r>
    <s v="TRX481"/>
    <s v="Siti Aminah"/>
    <s v="KD-LPT-01"/>
    <s v="Laptop XYZ"/>
    <x v="2"/>
    <x v="65"/>
    <n v="3566612"/>
    <s v="R-04"/>
    <x v="3"/>
  </r>
  <r>
    <s v="TRX866"/>
    <s v="Andi Wijaya"/>
    <s v="KD-LPT-03"/>
    <s v="Laptop QWE"/>
    <x v="2"/>
    <x v="66"/>
    <n v="2904238"/>
    <s v="R-02"/>
    <x v="1"/>
  </r>
  <r>
    <s v="TRX113"/>
    <s v="Andi Wijaya"/>
    <s v="KD-MON-01"/>
    <s v="Monitor 24 inch"/>
    <x v="0"/>
    <x v="67"/>
    <n v="2830708"/>
    <s v="R-01"/>
    <x v="2"/>
  </r>
  <r>
    <s v="TRX101"/>
    <s v="Budi Santoso"/>
    <s v="KD-LPT-02"/>
    <s v="Laptop RTY"/>
    <x v="2"/>
    <x v="68"/>
    <n v="3694679"/>
    <s v="R-03"/>
    <x v="0"/>
  </r>
  <r>
    <s v="TRX569"/>
    <s v="Eko Purnomo"/>
    <s v="KD-MON-01"/>
    <s v="Monitor 24 inch"/>
    <x v="0"/>
    <x v="69"/>
    <n v="18744856"/>
    <s v="R-04"/>
    <x v="3"/>
  </r>
  <r>
    <s v="TRX919"/>
    <s v="Dewi Lestari"/>
    <s v="KD-MSE-01"/>
    <s v="Mouse Optik A"/>
    <x v="4"/>
    <x v="70"/>
    <n v="15806139"/>
    <s v="R-01"/>
    <x v="2"/>
  </r>
  <r>
    <s v="TRX600"/>
    <s v="Dewi Lestari"/>
    <s v="KD-LPT-02"/>
    <s v="Laptop RTY"/>
    <x v="2"/>
    <x v="71"/>
    <n v="11202348"/>
    <s v="R-01"/>
    <x v="2"/>
  </r>
  <r>
    <s v="TRX990"/>
    <s v="Siti Aminah"/>
    <s v="KD-MSE-02"/>
    <s v="Mouse Gaming B"/>
    <x v="4"/>
    <x v="72"/>
    <n v="1485160"/>
    <s v="R-01"/>
    <x v="2"/>
  </r>
  <r>
    <s v="TRX666"/>
    <s v="Siti Aminah"/>
    <s v="KD-KBD-02"/>
    <s v="Keyboard Wireless"/>
    <x v="1"/>
    <x v="73"/>
    <n v="5373036"/>
    <s v="R-01"/>
    <x v="2"/>
  </r>
  <r>
    <s v="TRX414"/>
    <s v="Dewi Lestari"/>
    <s v="KD-MSE-01"/>
    <s v="Mouse Optik A"/>
    <x v="4"/>
    <x v="74"/>
    <n v="18402688"/>
    <s v="R-03"/>
    <x v="0"/>
  </r>
  <r>
    <s v="TRX279"/>
    <s v="Dewi Lestari"/>
    <s v="KD-LPT-01"/>
    <s v="Laptop XYZ"/>
    <x v="2"/>
    <x v="75"/>
    <n v="248984"/>
    <s v="R-01"/>
    <x v="2"/>
  </r>
  <r>
    <s v="TRX928"/>
    <s v="Andi Wijaya"/>
    <s v="KD-LPT-02"/>
    <s v="Laptop RTY"/>
    <x v="2"/>
    <x v="76"/>
    <n v="10988678"/>
    <s v="R-01"/>
    <x v="2"/>
  </r>
  <r>
    <s v="TRX505"/>
    <s v="Andi Wijaya"/>
    <s v="KD-KBD-01"/>
    <s v="Keyboard Mechanical"/>
    <x v="1"/>
    <x v="77"/>
    <n v="6756168"/>
    <s v="R-02"/>
    <x v="1"/>
  </r>
  <r>
    <s v="TRX697"/>
    <s v="Andi Wijaya"/>
    <s v="KD-LPT-01"/>
    <s v="Laptop XYZ"/>
    <x v="2"/>
    <x v="78"/>
    <n v="18481600"/>
    <s v="R-02"/>
    <x v="1"/>
  </r>
  <r>
    <s v="TRX709"/>
    <s v="Budi Santoso"/>
    <s v="KD-LPT-02"/>
    <s v="Laptop RTY"/>
    <x v="2"/>
    <x v="79"/>
    <n v="14816555"/>
    <s v="R-02"/>
    <x v="1"/>
  </r>
  <r>
    <s v="TRX581"/>
    <s v="Eko Purnomo"/>
    <s v="KD-LPT-03"/>
    <s v="Laptop QWE"/>
    <x v="2"/>
    <x v="80"/>
    <n v="19208135"/>
    <s v="R-04"/>
    <x v="3"/>
  </r>
  <r>
    <s v="TRX341"/>
    <s v="Eko Purnomo"/>
    <s v="KD-MON-02"/>
    <s v="Monitor 27 inch"/>
    <x v="0"/>
    <x v="81"/>
    <n v="12919242"/>
    <s v="R-03"/>
    <x v="0"/>
  </r>
  <r>
    <s v="TRX205"/>
    <s v="Eko Purnomo"/>
    <s v="KD-KBD-02"/>
    <s v="Keyboard Wireless"/>
    <x v="1"/>
    <x v="82"/>
    <n v="15360818"/>
    <s v="R-03"/>
    <x v="0"/>
  </r>
  <r>
    <s v="TRX598"/>
    <s v="Budi Santoso"/>
    <s v="KD-KBD-01"/>
    <s v="Keyboard Mechanical"/>
    <x v="1"/>
    <x v="83"/>
    <n v="16230288"/>
    <s v="R-03"/>
    <x v="0"/>
  </r>
  <r>
    <s v="TRX940"/>
    <s v="Andi Wijaya"/>
    <s v="KD-KBD-01"/>
    <s v="Keyboard Mechanical"/>
    <x v="1"/>
    <x v="84"/>
    <n v="1937095"/>
    <s v="R-01"/>
    <x v="2"/>
  </r>
  <r>
    <s v="TRX389"/>
    <s v="Eko Purnomo"/>
    <s v="KD-LPT-01"/>
    <s v="Laptop XYZ"/>
    <x v="2"/>
    <x v="85"/>
    <n v="10699746"/>
    <s v="R-01"/>
    <x v="2"/>
  </r>
  <r>
    <s v="TRX486"/>
    <s v="Dewi Lestari"/>
    <s v="KD-MON-01"/>
    <s v="Monitor 24 inch"/>
    <x v="0"/>
    <x v="86"/>
    <n v="4980450"/>
    <s v="R-03"/>
    <x v="0"/>
  </r>
  <r>
    <s v="TRX176"/>
    <s v="Budi Santoso"/>
    <s v="KD-PRN-01"/>
    <s v="Printer Laser"/>
    <x v="3"/>
    <x v="87"/>
    <n v="19087034"/>
    <s v="R-04"/>
    <x v="3"/>
  </r>
  <r>
    <s v="TRX390"/>
    <s v="Eko Purnomo"/>
    <s v="KD-KBD-02"/>
    <s v="Keyboard Wireless"/>
    <x v="1"/>
    <x v="88"/>
    <n v="16229444"/>
    <s v="R-01"/>
    <x v="2"/>
  </r>
  <r>
    <s v="TRX266"/>
    <s v="Dewi Lestari"/>
    <s v="KD-MON-02"/>
    <s v="Monitor 27 inch"/>
    <x v="0"/>
    <x v="89"/>
    <n v="19209001"/>
    <s v="R-03"/>
    <x v="0"/>
  </r>
  <r>
    <s v="TRX748"/>
    <s v="Siti Aminah"/>
    <s v="KD-MON-01"/>
    <s v="Monitor 24 inch"/>
    <x v="0"/>
    <x v="90"/>
    <n v="11536697"/>
    <s v="R-03"/>
    <x v="0"/>
  </r>
  <r>
    <s v="TRX852"/>
    <s v="Dewi Lestari"/>
    <s v="KD-PRN-01"/>
    <s v="Printer Laser"/>
    <x v="3"/>
    <x v="91"/>
    <n v="4053339"/>
    <s v="R-03"/>
    <x v="0"/>
  </r>
  <r>
    <s v="TRX963"/>
    <s v="Budi Santoso"/>
    <s v="KD-LPT-02"/>
    <s v="Laptop RTY"/>
    <x v="2"/>
    <x v="92"/>
    <n v="16213446"/>
    <s v="R-03"/>
    <x v="0"/>
  </r>
  <r>
    <s v="TRX918"/>
    <s v="Eko Purnomo"/>
    <s v="KD-MON-02"/>
    <s v="Monitor 27 inch"/>
    <x v="0"/>
    <x v="93"/>
    <n v="17973323"/>
    <s v="R-04"/>
    <x v="3"/>
  </r>
  <r>
    <s v="TRX774"/>
    <s v="Eko Purnomo"/>
    <s v="KD-LPT-01"/>
    <s v="Laptop XYZ"/>
    <x v="2"/>
    <x v="94"/>
    <n v="12110049"/>
    <s v="R-04"/>
    <x v="3"/>
  </r>
  <r>
    <s v="TRX930"/>
    <s v="Siti Aminah"/>
    <s v="KD-PRN-01"/>
    <s v="Printer Laser"/>
    <x v="3"/>
    <x v="95"/>
    <n v="7330144"/>
    <s v="R-03"/>
    <x v="0"/>
  </r>
  <r>
    <s v="TRX967"/>
    <s v="Siti Aminah"/>
    <s v="KD-KBD-01"/>
    <s v="Keyboard Mechanical"/>
    <x v="1"/>
    <x v="96"/>
    <n v="4745583"/>
    <s v="R-04"/>
    <x v="3"/>
  </r>
  <r>
    <s v="TRX568"/>
    <s v="Budi Santoso"/>
    <s v="KD-KBD-01"/>
    <s v="Keyboard Mechanical"/>
    <x v="1"/>
    <x v="97"/>
    <n v="15793974"/>
    <s v="R-03"/>
    <x v="0"/>
  </r>
  <r>
    <s v="TRX556"/>
    <s v="Budi Santoso"/>
    <s v="KD-LPT-02"/>
    <s v="Laptop RTY"/>
    <x v="2"/>
    <x v="98"/>
    <n v="8188004"/>
    <s v="R-01"/>
    <x v="2"/>
  </r>
  <r>
    <s v="TRX726"/>
    <s v="Eko Purnomo"/>
    <s v="KD-LPT-01"/>
    <s v="Laptop XYZ"/>
    <x v="2"/>
    <x v="99"/>
    <n v="13272482"/>
    <s v="R-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C28653-7E3E-4F48-BDD0-0BF88136EAD7}"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A3:F9" firstHeaderRow="1" firstDataRow="2" firstDataCol="1"/>
  <pivotFields count="10">
    <pivotField showAll="0"/>
    <pivotField showAll="0"/>
    <pivotField showAll="0"/>
    <pivotField showAll="0"/>
    <pivotField showAll="0">
      <items count="6">
        <item x="1"/>
        <item x="2"/>
        <item x="0"/>
        <item x="4"/>
        <item x="3"/>
        <item t="default"/>
      </items>
    </pivotField>
    <pivotField axis="axisRow"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3" showAll="0"/>
    <pivotField showAll="0"/>
    <pivotField axis="axisCol" showAll="0">
      <items count="5">
        <item x="2"/>
        <item x="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5"/>
  </rowFields>
  <rowItems count="5">
    <i>
      <x v="1"/>
    </i>
    <i>
      <x v="2"/>
    </i>
    <i>
      <x v="3"/>
    </i>
    <i>
      <x v="4"/>
    </i>
    <i t="grand">
      <x/>
    </i>
  </rowItems>
  <colFields count="1">
    <field x="8"/>
  </colFields>
  <colItems count="5">
    <i>
      <x/>
    </i>
    <i>
      <x v="1"/>
    </i>
    <i>
      <x v="2"/>
    </i>
    <i>
      <x v="3"/>
    </i>
    <i t="grand">
      <x/>
    </i>
  </colItems>
  <dataFields count="1">
    <dataField name="Sum of Sales_Value" fld="6" baseField="0" baseItem="0"/>
  </dataFields>
  <chartFormats count="8">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3" format="2" series="1">
      <pivotArea type="data" outline="0" fieldPosition="0">
        <references count="2">
          <reference field="4294967294" count="1" selected="0">
            <x v="0"/>
          </reference>
          <reference field="8" count="1" selected="0">
            <x v="2"/>
          </reference>
        </references>
      </pivotArea>
    </chartFormat>
    <chartFormat chart="3" format="3" series="1">
      <pivotArea type="data" outline="0" fieldPosition="0">
        <references count="2">
          <reference field="4294967294" count="1" selected="0">
            <x v="0"/>
          </reference>
          <reference field="8" count="1" selected="0">
            <x v="3"/>
          </reference>
        </references>
      </pivotArea>
    </chartFormat>
    <chartFormat chart="6" format="8" series="1">
      <pivotArea type="data" outline="0" fieldPosition="0">
        <references count="2">
          <reference field="4294967294" count="1" selected="0">
            <x v="0"/>
          </reference>
          <reference field="8" count="1" selected="0">
            <x v="0"/>
          </reference>
        </references>
      </pivotArea>
    </chartFormat>
    <chartFormat chart="6" format="9" series="1">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2">
          <reference field="4294967294" count="1" selected="0">
            <x v="0"/>
          </reference>
          <reference field="8" count="1" selected="0">
            <x v="2"/>
          </reference>
        </references>
      </pivotArea>
    </chartFormat>
    <chartFormat chart="6"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AE761D-3447-49ED-8836-0C5454F78962}"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5">
  <location ref="A3:F10" firstHeaderRow="1" firstDataRow="2" firstDataCol="1"/>
  <pivotFields count="10">
    <pivotField showAll="0"/>
    <pivotField showAll="0"/>
    <pivotField showAll="0"/>
    <pivotField showAll="0"/>
    <pivotField axis="axisRow" showAll="0">
      <items count="6">
        <item x="1"/>
        <item x="2"/>
        <item x="0"/>
        <item x="4"/>
        <item x="3"/>
        <item t="default"/>
      </items>
    </pivotField>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3" showAll="0"/>
    <pivotField showAll="0"/>
    <pivotField axis="axisCol" showAll="0">
      <items count="5">
        <item x="2"/>
        <item x="3"/>
        <item x="0"/>
        <item x="1"/>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8"/>
  </colFields>
  <colItems count="5">
    <i>
      <x/>
    </i>
    <i>
      <x v="1"/>
    </i>
    <i>
      <x v="2"/>
    </i>
    <i>
      <x v="3"/>
    </i>
    <i t="grand">
      <x/>
    </i>
  </colItems>
  <dataFields count="1">
    <dataField name="Sum of Sales_Value" fld="6" baseField="0" baseItem="0"/>
  </dataFields>
  <chartFormats count="10">
    <chartFormat chart="9" format="0" series="1">
      <pivotArea type="data" outline="0" fieldPosition="0">
        <references count="2">
          <reference field="4294967294" count="1" selected="0">
            <x v="0"/>
          </reference>
          <reference field="8" count="1" selected="0">
            <x v="0"/>
          </reference>
        </references>
      </pivotArea>
    </chartFormat>
    <chartFormat chart="9" format="1" series="1">
      <pivotArea type="data" outline="0" fieldPosition="0">
        <references count="2">
          <reference field="4294967294" count="1" selected="0">
            <x v="0"/>
          </reference>
          <reference field="8" count="1" selected="0">
            <x v="1"/>
          </reference>
        </references>
      </pivotArea>
    </chartFormat>
    <chartFormat chart="9" format="2" series="1">
      <pivotArea type="data" outline="0" fieldPosition="0">
        <references count="2">
          <reference field="4294967294" count="1" selected="0">
            <x v="0"/>
          </reference>
          <reference field="8" count="1" selected="0">
            <x v="2"/>
          </reference>
        </references>
      </pivotArea>
    </chartFormat>
    <chartFormat chart="9" format="3" series="1">
      <pivotArea type="data" outline="0" fieldPosition="0">
        <references count="2">
          <reference field="4294967294" count="1" selected="0">
            <x v="0"/>
          </reference>
          <reference field="8" count="1" selected="0">
            <x v="3"/>
          </reference>
        </references>
      </pivotArea>
    </chartFormat>
    <chartFormat chart="14" format="8" series="1">
      <pivotArea type="data" outline="0" fieldPosition="0">
        <references count="2">
          <reference field="4294967294" count="1" selected="0">
            <x v="0"/>
          </reference>
          <reference field="8" count="1" selected="0">
            <x v="0"/>
          </reference>
        </references>
      </pivotArea>
    </chartFormat>
    <chartFormat chart="14" format="9" series="1">
      <pivotArea type="data" outline="0" fieldPosition="0">
        <references count="2">
          <reference field="4294967294" count="1" selected="0">
            <x v="0"/>
          </reference>
          <reference field="8" count="1" selected="0">
            <x v="1"/>
          </reference>
        </references>
      </pivotArea>
    </chartFormat>
    <chartFormat chart="14" format="10" series="1">
      <pivotArea type="data" outline="0" fieldPosition="0">
        <references count="2">
          <reference field="4294967294" count="1" selected="0">
            <x v="0"/>
          </reference>
          <reference field="8" count="1" selected="0">
            <x v="2"/>
          </reference>
        </references>
      </pivotArea>
    </chartFormat>
    <chartFormat chart="14" format="11" series="1">
      <pivotArea type="data" outline="0" fieldPosition="0">
        <references count="2">
          <reference field="4294967294" count="1" selected="0">
            <x v="0"/>
          </reference>
          <reference field="8" count="1" selected="0">
            <x v="3"/>
          </reference>
        </references>
      </pivotArea>
    </chartFormat>
    <chartFormat chart="14" format="1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0F714-0306-480D-B746-A640A0202FF0}"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9">
  <location ref="A3:B8" firstHeaderRow="1" firstDataRow="1" firstDataCol="1"/>
  <pivotFields count="10">
    <pivotField showAll="0"/>
    <pivotField showAll="0"/>
    <pivotField showAll="0"/>
    <pivotField showAll="0"/>
    <pivotField showAll="0">
      <items count="6">
        <item x="1"/>
        <item x="2"/>
        <item x="0"/>
        <item x="4"/>
        <item x="3"/>
        <item t="default"/>
      </items>
    </pivotField>
    <pivotField axis="axisRow"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3" showAll="0"/>
    <pivotField showAll="0"/>
    <pivotField showAll="0">
      <items count="5">
        <item x="2"/>
        <item x="3"/>
        <item x="0"/>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5"/>
  </rowFields>
  <rowItems count="5">
    <i>
      <x v="1"/>
    </i>
    <i>
      <x v="2"/>
    </i>
    <i>
      <x v="3"/>
    </i>
    <i>
      <x v="4"/>
    </i>
    <i t="grand">
      <x/>
    </i>
  </rowItems>
  <colItems count="1">
    <i/>
  </colItems>
  <dataFields count="1">
    <dataField name="Sum of Sales_Value" fld="6" baseField="0" baseItem="0"/>
  </dataFields>
  <chartFormats count="2">
    <chartFormat chart="15" format="0"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A23299A-E6DE-401C-AC39-62134A0F1CC4}" sourceName="Product_Category">
  <pivotTables>
    <pivotTable tabId="9" name="PivotTable1"/>
    <pivotTable tabId="11" name="PivotTable3"/>
    <pivotTable tabId="10" name="PivotTable2"/>
  </pivotTables>
  <data>
    <tabular pivotCacheId="363772623">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A55C30-AD92-404D-A8E1-09DB853C2FB0}" sourceName="Region">
  <pivotTables>
    <pivotTable tabId="9" name="PivotTable1"/>
    <pivotTable tabId="11" name="PivotTable3"/>
    <pivotTable tabId="10" name="PivotTable2"/>
  </pivotTables>
  <data>
    <tabular pivotCacheId="36377262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E23756CE-7EBC-4051-B46F-2E398A296532}" cache="Slicer_Product_Category" caption="Product_Category" showCaption="0" rowHeight="241300"/>
  <slicer name="Region" xr10:uid="{8D165926-9C80-4D7D-B3C8-716EA27B9AE3}" cache="Slicer_Region" caption="Region"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E4C75A-060D-4796-BF6E-3D982E1F0DA3}" name="Table1" displayName="Table1" ref="A1:I101" totalsRowShown="0" headerRowDxfId="11" dataDxfId="10" tableBorderDxfId="9">
  <autoFilter ref="A1:I101" xr:uid="{B18EF915-E53F-46BC-A1BE-191B8F24BB6A}"/>
  <tableColumns count="9">
    <tableColumn id="1" xr3:uid="{6BD59E12-38E5-40A7-97FF-2DD5626ECB54}" name="Order_ID" dataDxfId="8"/>
    <tableColumn id="2" xr3:uid="{F41CDEDA-FD04-48F7-9D19-B8E7BDBAAAEB}" name="Customer_Name" dataDxfId="7"/>
    <tableColumn id="3" xr3:uid="{7DC5B2D6-56A7-481F-A77C-9702C23FD789}" name="Product_Code" dataDxfId="6"/>
    <tableColumn id="4" xr3:uid="{B11DE9B1-C607-4ABB-B465-ED60CFCAAF56}" name="Product_Name" dataDxfId="5">
      <calculatedColumnFormula>VLOOKUP(C2,RefProd!$A$2:$C$12,2,0)</calculatedColumnFormula>
    </tableColumn>
    <tableColumn id="5" xr3:uid="{BC5B7352-FB99-4B9B-B0FB-FA519600097D}" name="Product_Category" dataDxfId="4">
      <calculatedColumnFormula>VLOOKUP(C2,RefProd!$A$2:$C$12,3,0)</calculatedColumnFormula>
    </tableColumn>
    <tableColumn id="6" xr3:uid="{E010AC6E-27E9-46B5-90F1-8F0A5E4D79BD}" name="Transaction_Date" dataDxfId="3"/>
    <tableColumn id="7" xr3:uid="{3BD6109E-E08C-4B6B-BC8F-958C454E8B2C}" name="Sales_Value" dataDxfId="2"/>
    <tableColumn id="8" xr3:uid="{D61F77C2-8E5A-435E-95FF-25D7D764FADE}" name="Region_Code" dataDxfId="1"/>
    <tableColumn id="9" xr3:uid="{4D1104E1-9A1D-4EFF-8042-AB2D882C1F2E}" name="Region" dataDxfId="0">
      <calculatedColumnFormula>VLOOKUP(H2,RefRegion!$A$2:$B$5,2,0)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epth">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Depth">
      <a:maj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61346636-210B-4DFC-9D2F-E694E3F635DC}" sourceName="Transaction_Date">
  <pivotTables>
    <pivotTable tabId="9" name="PivotTable1"/>
    <pivotTable tabId="11" name="PivotTable3"/>
    <pivotTable tabId="10" name="PivotTable2"/>
  </pivotTables>
  <state minimalRefreshVersion="6" lastRefreshVersion="6" pivotCacheId="36377262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8B388F21-345B-416A-AF65-37B7E475A9AA}" cache="NativeTimeline_Transaction_Date" caption="Transaction_Date" level="2" selectionLevel="2" scrollPosition="2026-01-01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workbookViewId="0">
      <selection activeCell="O4" sqref="O4"/>
    </sheetView>
  </sheetViews>
  <sheetFormatPr defaultRowHeight="15" x14ac:dyDescent="0.25"/>
  <cols>
    <col min="1" max="1" width="8.875" customWidth="1"/>
    <col min="2" max="2" width="15.875" customWidth="1"/>
    <col min="3" max="3" width="13.5" customWidth="1"/>
    <col min="4" max="4" width="18.25" customWidth="1"/>
    <col min="5" max="5" width="11.625" customWidth="1"/>
    <col min="6" max="6" width="12.625" customWidth="1"/>
  </cols>
  <sheetData>
    <row r="1" spans="1:6" x14ac:dyDescent="0.25">
      <c r="A1" s="1" t="s">
        <v>0</v>
      </c>
      <c r="B1" s="1" t="s">
        <v>1</v>
      </c>
      <c r="C1" s="1" t="s">
        <v>2</v>
      </c>
      <c r="D1" s="1" t="s">
        <v>3</v>
      </c>
      <c r="E1" s="1" t="s">
        <v>4</v>
      </c>
      <c r="F1" s="1" t="s">
        <v>5</v>
      </c>
    </row>
    <row r="2" spans="1:6" x14ac:dyDescent="0.25">
      <c r="A2" s="2" t="s">
        <v>6</v>
      </c>
      <c r="B2" s="2" t="s">
        <v>7</v>
      </c>
      <c r="C2" s="2" t="s">
        <v>127</v>
      </c>
      <c r="D2" s="3">
        <v>46023</v>
      </c>
      <c r="E2" s="2"/>
      <c r="F2" s="2" t="s">
        <v>8</v>
      </c>
    </row>
    <row r="3" spans="1:6" x14ac:dyDescent="0.25">
      <c r="A3" s="2" t="s">
        <v>9</v>
      </c>
      <c r="B3" s="2" t="s">
        <v>10</v>
      </c>
      <c r="C3" s="2" t="s">
        <v>128</v>
      </c>
      <c r="D3" s="3">
        <v>46024</v>
      </c>
      <c r="E3" s="2"/>
      <c r="F3" s="2" t="s">
        <v>11</v>
      </c>
    </row>
    <row r="4" spans="1:6" x14ac:dyDescent="0.25">
      <c r="A4" s="2" t="s">
        <v>12</v>
      </c>
      <c r="B4" s="2" t="s">
        <v>13</v>
      </c>
      <c r="C4" s="2" t="s">
        <v>129</v>
      </c>
      <c r="D4" s="3">
        <v>46025</v>
      </c>
      <c r="E4" s="2"/>
      <c r="F4" s="2" t="s">
        <v>11</v>
      </c>
    </row>
    <row r="5" spans="1:6" x14ac:dyDescent="0.25">
      <c r="A5" s="2" t="s">
        <v>14</v>
      </c>
      <c r="B5" s="2" t="s">
        <v>7</v>
      </c>
      <c r="C5" s="2" t="s">
        <v>128</v>
      </c>
      <c r="D5" s="3">
        <v>46026</v>
      </c>
      <c r="E5" s="2"/>
      <c r="F5" s="2" t="s">
        <v>15</v>
      </c>
    </row>
    <row r="6" spans="1:6" x14ac:dyDescent="0.25">
      <c r="A6" s="2" t="s">
        <v>16</v>
      </c>
      <c r="B6" s="2" t="s">
        <v>17</v>
      </c>
      <c r="C6" s="2" t="s">
        <v>130</v>
      </c>
      <c r="D6" s="3">
        <v>46027</v>
      </c>
      <c r="E6" s="2"/>
      <c r="F6" s="2" t="s">
        <v>15</v>
      </c>
    </row>
    <row r="7" spans="1:6" x14ac:dyDescent="0.25">
      <c r="A7" s="2" t="s">
        <v>19</v>
      </c>
      <c r="B7" s="2" t="s">
        <v>13</v>
      </c>
      <c r="C7" s="2" t="s">
        <v>129</v>
      </c>
      <c r="D7" s="3">
        <v>46028</v>
      </c>
      <c r="E7" s="2"/>
      <c r="F7" s="2" t="s">
        <v>8</v>
      </c>
    </row>
    <row r="8" spans="1:6" x14ac:dyDescent="0.25">
      <c r="A8" s="2" t="s">
        <v>20</v>
      </c>
      <c r="B8" s="2" t="s">
        <v>7</v>
      </c>
      <c r="C8" s="2" t="s">
        <v>131</v>
      </c>
      <c r="D8" s="3">
        <v>46029</v>
      </c>
      <c r="E8" s="2">
        <v>7604852</v>
      </c>
      <c r="F8" s="2" t="s">
        <v>21</v>
      </c>
    </row>
    <row r="9" spans="1:6" x14ac:dyDescent="0.25">
      <c r="A9" s="2" t="s">
        <v>22</v>
      </c>
      <c r="B9" s="2" t="s">
        <v>13</v>
      </c>
      <c r="C9" s="2" t="s">
        <v>129</v>
      </c>
      <c r="D9" s="3">
        <v>46030</v>
      </c>
      <c r="E9" s="2">
        <v>5181505</v>
      </c>
      <c r="F9" s="2" t="s">
        <v>15</v>
      </c>
    </row>
    <row r="10" spans="1:6" x14ac:dyDescent="0.25">
      <c r="A10" s="2" t="s">
        <v>24</v>
      </c>
      <c r="B10" s="2" t="s">
        <v>13</v>
      </c>
      <c r="C10" s="2" t="s">
        <v>130</v>
      </c>
      <c r="D10" s="3">
        <v>46031</v>
      </c>
      <c r="E10" s="2">
        <v>14153367</v>
      </c>
      <c r="F10" s="2" t="s">
        <v>21</v>
      </c>
    </row>
    <row r="11" spans="1:6" x14ac:dyDescent="0.25">
      <c r="A11" s="2" t="s">
        <v>25</v>
      </c>
      <c r="B11" s="2" t="s">
        <v>10</v>
      </c>
      <c r="C11" s="2" t="s">
        <v>18</v>
      </c>
      <c r="D11" s="3">
        <v>46032</v>
      </c>
      <c r="E11" s="2">
        <v>18744107</v>
      </c>
      <c r="F11" s="2" t="s">
        <v>15</v>
      </c>
    </row>
    <row r="12" spans="1:6" x14ac:dyDescent="0.25">
      <c r="A12" s="2" t="s">
        <v>26</v>
      </c>
      <c r="B12" s="2" t="s">
        <v>27</v>
      </c>
      <c r="C12" s="2" t="s">
        <v>129</v>
      </c>
      <c r="D12" s="3">
        <v>46033</v>
      </c>
      <c r="E12" s="2">
        <v>4721373</v>
      </c>
      <c r="F12" s="2" t="s">
        <v>11</v>
      </c>
    </row>
    <row r="13" spans="1:6" x14ac:dyDescent="0.25">
      <c r="A13" s="2" t="s">
        <v>28</v>
      </c>
      <c r="B13" s="2" t="s">
        <v>7</v>
      </c>
      <c r="C13" s="2" t="s">
        <v>131</v>
      </c>
      <c r="D13" s="3">
        <v>46034</v>
      </c>
      <c r="E13" s="2">
        <v>6219877</v>
      </c>
      <c r="F13" s="2" t="s">
        <v>11</v>
      </c>
    </row>
    <row r="14" spans="1:6" x14ac:dyDescent="0.25">
      <c r="A14" s="2" t="s">
        <v>29</v>
      </c>
      <c r="B14" s="2" t="s">
        <v>10</v>
      </c>
      <c r="C14" s="2" t="s">
        <v>131</v>
      </c>
      <c r="D14" s="3">
        <v>46035</v>
      </c>
      <c r="E14" s="2">
        <v>3544769</v>
      </c>
      <c r="F14" s="2" t="s">
        <v>8</v>
      </c>
    </row>
    <row r="15" spans="1:6" x14ac:dyDescent="0.25">
      <c r="A15" s="2" t="s">
        <v>30</v>
      </c>
      <c r="B15" s="2" t="s">
        <v>13</v>
      </c>
      <c r="C15" s="2" t="s">
        <v>132</v>
      </c>
      <c r="D15" s="3">
        <v>46036</v>
      </c>
      <c r="E15" s="2">
        <v>9380351</v>
      </c>
      <c r="F15" s="2" t="s">
        <v>11</v>
      </c>
    </row>
    <row r="16" spans="1:6" x14ac:dyDescent="0.25">
      <c r="A16" s="2" t="s">
        <v>31</v>
      </c>
      <c r="B16" s="2" t="s">
        <v>7</v>
      </c>
      <c r="C16" s="2" t="s">
        <v>130</v>
      </c>
      <c r="D16" s="3">
        <v>46037</v>
      </c>
      <c r="E16" s="2">
        <v>303355</v>
      </c>
      <c r="F16" s="2" t="s">
        <v>11</v>
      </c>
    </row>
    <row r="17" spans="1:6" x14ac:dyDescent="0.25">
      <c r="A17" s="2" t="s">
        <v>32</v>
      </c>
      <c r="B17" s="2" t="s">
        <v>17</v>
      </c>
      <c r="C17" s="2" t="s">
        <v>133</v>
      </c>
      <c r="D17" s="3">
        <v>46038</v>
      </c>
      <c r="E17" s="2">
        <v>16164436</v>
      </c>
      <c r="F17" s="2" t="s">
        <v>15</v>
      </c>
    </row>
    <row r="18" spans="1:6" x14ac:dyDescent="0.25">
      <c r="A18" s="2" t="s">
        <v>33</v>
      </c>
      <c r="B18" s="2" t="s">
        <v>13</v>
      </c>
      <c r="C18" s="2" t="s">
        <v>127</v>
      </c>
      <c r="D18" s="3">
        <v>46039</v>
      </c>
      <c r="E18" s="2">
        <v>1462752</v>
      </c>
      <c r="F18" s="2" t="s">
        <v>15</v>
      </c>
    </row>
    <row r="19" spans="1:6" x14ac:dyDescent="0.25">
      <c r="A19" s="2" t="s">
        <v>34</v>
      </c>
      <c r="B19" s="2" t="s">
        <v>17</v>
      </c>
      <c r="C19" s="2" t="s">
        <v>134</v>
      </c>
      <c r="D19" s="3">
        <v>46040</v>
      </c>
      <c r="E19" s="2">
        <v>9984633</v>
      </c>
      <c r="F19" s="2" t="s">
        <v>15</v>
      </c>
    </row>
    <row r="20" spans="1:6" x14ac:dyDescent="0.25">
      <c r="A20" s="2" t="s">
        <v>35</v>
      </c>
      <c r="B20" s="2" t="s">
        <v>36</v>
      </c>
      <c r="C20" s="2" t="s">
        <v>129</v>
      </c>
      <c r="D20" s="3">
        <v>46041</v>
      </c>
      <c r="E20" s="2">
        <v>5864789</v>
      </c>
      <c r="F20" s="2" t="s">
        <v>11</v>
      </c>
    </row>
    <row r="21" spans="1:6" x14ac:dyDescent="0.25">
      <c r="A21" s="2" t="s">
        <v>37</v>
      </c>
      <c r="B21" s="2" t="s">
        <v>7</v>
      </c>
      <c r="C21" s="2" t="s">
        <v>130</v>
      </c>
      <c r="D21" s="3">
        <v>46042</v>
      </c>
      <c r="E21" s="2">
        <v>9895979</v>
      </c>
      <c r="F21" s="2" t="s">
        <v>8</v>
      </c>
    </row>
    <row r="22" spans="1:6" x14ac:dyDescent="0.25">
      <c r="A22" s="2" t="s">
        <v>38</v>
      </c>
      <c r="B22" s="2" t="s">
        <v>13</v>
      </c>
      <c r="C22" s="2" t="s">
        <v>134</v>
      </c>
      <c r="D22" s="3">
        <v>46043</v>
      </c>
      <c r="E22" s="2">
        <v>9505648</v>
      </c>
      <c r="F22" s="2" t="s">
        <v>21</v>
      </c>
    </row>
    <row r="23" spans="1:6" x14ac:dyDescent="0.25">
      <c r="A23" s="2" t="s">
        <v>39</v>
      </c>
      <c r="B23" s="2" t="s">
        <v>17</v>
      </c>
      <c r="C23" s="2" t="s">
        <v>18</v>
      </c>
      <c r="D23" s="3">
        <v>46044</v>
      </c>
      <c r="E23" s="2">
        <v>5943066</v>
      </c>
      <c r="F23" s="2" t="s">
        <v>8</v>
      </c>
    </row>
    <row r="24" spans="1:6" x14ac:dyDescent="0.25">
      <c r="A24" s="2" t="s">
        <v>40</v>
      </c>
      <c r="B24" s="2" t="s">
        <v>36</v>
      </c>
      <c r="C24" s="2" t="s">
        <v>134</v>
      </c>
      <c r="D24" s="3">
        <v>46045</v>
      </c>
      <c r="E24" s="2">
        <v>10842490</v>
      </c>
      <c r="F24" s="2" t="s">
        <v>21</v>
      </c>
    </row>
    <row r="25" spans="1:6" x14ac:dyDescent="0.25">
      <c r="A25" s="2" t="s">
        <v>41</v>
      </c>
      <c r="B25" s="2" t="s">
        <v>13</v>
      </c>
      <c r="C25" s="2" t="s">
        <v>129</v>
      </c>
      <c r="D25" s="3">
        <v>46046</v>
      </c>
      <c r="E25" s="2">
        <v>6313790</v>
      </c>
      <c r="F25" s="2" t="s">
        <v>8</v>
      </c>
    </row>
    <row r="26" spans="1:6" x14ac:dyDescent="0.25">
      <c r="A26" s="2" t="s">
        <v>42</v>
      </c>
      <c r="B26" s="2" t="s">
        <v>36</v>
      </c>
      <c r="C26" s="2" t="s">
        <v>135</v>
      </c>
      <c r="D26" s="3">
        <v>46047</v>
      </c>
      <c r="E26" s="2">
        <v>13437723</v>
      </c>
      <c r="F26" s="2" t="s">
        <v>11</v>
      </c>
    </row>
    <row r="27" spans="1:6" x14ac:dyDescent="0.25">
      <c r="A27" s="2" t="s">
        <v>43</v>
      </c>
      <c r="B27" s="2" t="s">
        <v>36</v>
      </c>
      <c r="C27" s="2" t="s">
        <v>130</v>
      </c>
      <c r="D27" s="3">
        <v>46048</v>
      </c>
      <c r="E27" s="2">
        <v>12848637</v>
      </c>
      <c r="F27" s="2" t="s">
        <v>8</v>
      </c>
    </row>
    <row r="28" spans="1:6" x14ac:dyDescent="0.25">
      <c r="A28" s="2" t="s">
        <v>44</v>
      </c>
      <c r="B28" s="2" t="s">
        <v>36</v>
      </c>
      <c r="C28" s="2" t="s">
        <v>135</v>
      </c>
      <c r="D28" s="3">
        <v>46049</v>
      </c>
      <c r="E28" s="2">
        <v>17061870</v>
      </c>
      <c r="F28" s="2" t="s">
        <v>8</v>
      </c>
    </row>
    <row r="29" spans="1:6" x14ac:dyDescent="0.25">
      <c r="A29" s="2" t="s">
        <v>45</v>
      </c>
      <c r="B29" s="2" t="s">
        <v>17</v>
      </c>
      <c r="C29" s="2" t="s">
        <v>131</v>
      </c>
      <c r="D29" s="3">
        <v>46050</v>
      </c>
      <c r="E29" s="2">
        <v>5347581</v>
      </c>
      <c r="F29" s="2" t="s">
        <v>21</v>
      </c>
    </row>
    <row r="30" spans="1:6" x14ac:dyDescent="0.25">
      <c r="A30" s="2" t="s">
        <v>46</v>
      </c>
      <c r="B30" s="2" t="s">
        <v>17</v>
      </c>
      <c r="C30" s="2" t="s">
        <v>132</v>
      </c>
      <c r="D30" s="3">
        <v>46051</v>
      </c>
      <c r="E30" s="2">
        <v>18931570</v>
      </c>
      <c r="F30" s="2" t="s">
        <v>8</v>
      </c>
    </row>
    <row r="31" spans="1:6" x14ac:dyDescent="0.25">
      <c r="A31" s="2" t="s">
        <v>47</v>
      </c>
      <c r="B31" s="2" t="s">
        <v>7</v>
      </c>
      <c r="C31" s="2" t="s">
        <v>18</v>
      </c>
      <c r="D31" s="3">
        <v>46052</v>
      </c>
      <c r="E31" s="2">
        <v>2628388</v>
      </c>
      <c r="F31" s="2" t="s">
        <v>15</v>
      </c>
    </row>
    <row r="32" spans="1:6" x14ac:dyDescent="0.25">
      <c r="A32" s="2" t="s">
        <v>48</v>
      </c>
      <c r="B32" s="2" t="s">
        <v>13</v>
      </c>
      <c r="C32" s="2" t="s">
        <v>129</v>
      </c>
      <c r="D32" s="3">
        <v>46053</v>
      </c>
      <c r="E32" s="2">
        <v>2863046</v>
      </c>
      <c r="F32" s="2" t="s">
        <v>11</v>
      </c>
    </row>
    <row r="33" spans="1:6" x14ac:dyDescent="0.25">
      <c r="A33" s="2" t="s">
        <v>49</v>
      </c>
      <c r="B33" s="2" t="s">
        <v>17</v>
      </c>
      <c r="C33" s="2" t="s">
        <v>23</v>
      </c>
      <c r="D33" s="3">
        <v>46054</v>
      </c>
      <c r="E33" s="2">
        <v>11159014</v>
      </c>
      <c r="F33" s="2" t="s">
        <v>11</v>
      </c>
    </row>
    <row r="34" spans="1:6" x14ac:dyDescent="0.25">
      <c r="A34" s="2" t="s">
        <v>50</v>
      </c>
      <c r="B34" s="2" t="s">
        <v>13</v>
      </c>
      <c r="C34" s="2" t="s">
        <v>135</v>
      </c>
      <c r="D34" s="3">
        <v>46055</v>
      </c>
      <c r="E34" s="2">
        <v>15546051</v>
      </c>
      <c r="F34" s="2" t="s">
        <v>8</v>
      </c>
    </row>
    <row r="35" spans="1:6" x14ac:dyDescent="0.25">
      <c r="A35" s="2" t="s">
        <v>51</v>
      </c>
      <c r="B35" s="2" t="s">
        <v>36</v>
      </c>
      <c r="C35" s="2" t="s">
        <v>128</v>
      </c>
      <c r="D35" s="3">
        <v>46056</v>
      </c>
      <c r="E35" s="2">
        <v>3585357</v>
      </c>
      <c r="F35" s="2" t="s">
        <v>21</v>
      </c>
    </row>
    <row r="36" spans="1:6" x14ac:dyDescent="0.25">
      <c r="A36" s="2" t="s">
        <v>52</v>
      </c>
      <c r="B36" s="2" t="s">
        <v>7</v>
      </c>
      <c r="C36" s="2" t="s">
        <v>127</v>
      </c>
      <c r="D36" s="3">
        <v>46057</v>
      </c>
      <c r="E36" s="2">
        <v>16133681</v>
      </c>
      <c r="F36" s="2" t="s">
        <v>11</v>
      </c>
    </row>
    <row r="37" spans="1:6" x14ac:dyDescent="0.25">
      <c r="A37" s="2" t="s">
        <v>53</v>
      </c>
      <c r="B37" s="2" t="s">
        <v>10</v>
      </c>
      <c r="C37" s="2" t="s">
        <v>128</v>
      </c>
      <c r="D37" s="3">
        <v>46058</v>
      </c>
      <c r="E37" s="2">
        <v>11384121</v>
      </c>
      <c r="F37" s="2" t="s">
        <v>11</v>
      </c>
    </row>
    <row r="38" spans="1:6" x14ac:dyDescent="0.25">
      <c r="A38" s="2" t="s">
        <v>54</v>
      </c>
      <c r="B38" s="2" t="s">
        <v>7</v>
      </c>
      <c r="C38" s="2" t="s">
        <v>128</v>
      </c>
      <c r="D38" s="3">
        <v>46059</v>
      </c>
      <c r="E38" s="2">
        <v>1665689</v>
      </c>
      <c r="F38" s="2" t="s">
        <v>11</v>
      </c>
    </row>
    <row r="39" spans="1:6" x14ac:dyDescent="0.25">
      <c r="A39" s="2" t="s">
        <v>55</v>
      </c>
      <c r="B39" s="2" t="s">
        <v>17</v>
      </c>
      <c r="C39" s="2" t="s">
        <v>23</v>
      </c>
      <c r="D39" s="3">
        <v>46060</v>
      </c>
      <c r="E39" s="2">
        <v>17045364</v>
      </c>
      <c r="F39" s="2" t="s">
        <v>21</v>
      </c>
    </row>
    <row r="40" spans="1:6" x14ac:dyDescent="0.25">
      <c r="A40" s="2" t="s">
        <v>56</v>
      </c>
      <c r="B40" s="2" t="s">
        <v>36</v>
      </c>
      <c r="C40" s="2" t="s">
        <v>135</v>
      </c>
      <c r="D40" s="3">
        <v>46061</v>
      </c>
      <c r="E40" s="2">
        <v>18802881</v>
      </c>
      <c r="F40" s="2" t="s">
        <v>8</v>
      </c>
    </row>
    <row r="41" spans="1:6" x14ac:dyDescent="0.25">
      <c r="A41" s="2" t="s">
        <v>57</v>
      </c>
      <c r="B41" s="2" t="s">
        <v>13</v>
      </c>
      <c r="C41" s="2" t="s">
        <v>134</v>
      </c>
      <c r="D41" s="3">
        <v>46062</v>
      </c>
      <c r="E41" s="2">
        <v>19722899</v>
      </c>
      <c r="F41" s="2" t="s">
        <v>21</v>
      </c>
    </row>
    <row r="42" spans="1:6" x14ac:dyDescent="0.25">
      <c r="A42" s="2" t="s">
        <v>58</v>
      </c>
      <c r="B42" s="2" t="s">
        <v>36</v>
      </c>
      <c r="C42" s="2" t="s">
        <v>23</v>
      </c>
      <c r="D42" s="3">
        <v>46063</v>
      </c>
      <c r="E42" s="2">
        <v>11592366</v>
      </c>
      <c r="F42" s="2" t="s">
        <v>8</v>
      </c>
    </row>
    <row r="43" spans="1:6" x14ac:dyDescent="0.25">
      <c r="A43" s="2" t="s">
        <v>59</v>
      </c>
      <c r="B43" s="2" t="s">
        <v>17</v>
      </c>
      <c r="C43" s="2" t="s">
        <v>23</v>
      </c>
      <c r="D43" s="3">
        <v>46064</v>
      </c>
      <c r="E43" s="2">
        <v>15558907</v>
      </c>
      <c r="F43" s="2" t="s">
        <v>11</v>
      </c>
    </row>
    <row r="44" spans="1:6" x14ac:dyDescent="0.25">
      <c r="A44" s="2" t="s">
        <v>60</v>
      </c>
      <c r="B44" s="2" t="s">
        <v>13</v>
      </c>
      <c r="C44" s="2" t="s">
        <v>23</v>
      </c>
      <c r="D44" s="3">
        <v>46065</v>
      </c>
      <c r="E44" s="2">
        <v>2869995</v>
      </c>
      <c r="F44" s="2" t="s">
        <v>15</v>
      </c>
    </row>
    <row r="45" spans="1:6" x14ac:dyDescent="0.25">
      <c r="A45" s="2" t="s">
        <v>61</v>
      </c>
      <c r="B45" s="2" t="s">
        <v>13</v>
      </c>
      <c r="C45" s="2" t="s">
        <v>127</v>
      </c>
      <c r="D45" s="3">
        <v>46066</v>
      </c>
      <c r="E45" s="2">
        <v>13039420</v>
      </c>
      <c r="F45" s="2" t="s">
        <v>11</v>
      </c>
    </row>
    <row r="46" spans="1:6" x14ac:dyDescent="0.25">
      <c r="A46" s="2" t="s">
        <v>62</v>
      </c>
      <c r="B46" s="2" t="s">
        <v>10</v>
      </c>
      <c r="C46" s="2" t="s">
        <v>132</v>
      </c>
      <c r="D46" s="3">
        <v>46067</v>
      </c>
      <c r="E46" s="2">
        <v>13679854</v>
      </c>
      <c r="F46" s="2" t="s">
        <v>21</v>
      </c>
    </row>
    <row r="47" spans="1:6" x14ac:dyDescent="0.25">
      <c r="A47" s="2" t="s">
        <v>63</v>
      </c>
      <c r="B47" s="2" t="s">
        <v>17</v>
      </c>
      <c r="C47" s="2" t="s">
        <v>132</v>
      </c>
      <c r="D47" s="3">
        <v>46068</v>
      </c>
      <c r="E47" s="2">
        <v>6597986</v>
      </c>
      <c r="F47" s="2" t="s">
        <v>15</v>
      </c>
    </row>
    <row r="48" spans="1:6" x14ac:dyDescent="0.25">
      <c r="A48" s="2" t="s">
        <v>64</v>
      </c>
      <c r="B48" s="2" t="s">
        <v>13</v>
      </c>
      <c r="C48" s="2" t="s">
        <v>129</v>
      </c>
      <c r="D48" s="3">
        <v>46069</v>
      </c>
      <c r="E48" s="2">
        <v>13387277</v>
      </c>
      <c r="F48" s="2" t="s">
        <v>15</v>
      </c>
    </row>
    <row r="49" spans="1:6" x14ac:dyDescent="0.25">
      <c r="A49" s="2" t="s">
        <v>65</v>
      </c>
      <c r="B49" s="2" t="s">
        <v>7</v>
      </c>
      <c r="C49" s="2" t="s">
        <v>133</v>
      </c>
      <c r="D49" s="3">
        <v>46070</v>
      </c>
      <c r="E49" s="2">
        <v>2070928</v>
      </c>
      <c r="F49" s="2" t="s">
        <v>8</v>
      </c>
    </row>
    <row r="50" spans="1:6" x14ac:dyDescent="0.25">
      <c r="A50" s="2" t="s">
        <v>66</v>
      </c>
      <c r="B50" s="2" t="s">
        <v>17</v>
      </c>
      <c r="C50" s="2" t="s">
        <v>134</v>
      </c>
      <c r="D50" s="3">
        <v>46071</v>
      </c>
      <c r="E50" s="2">
        <v>4355299</v>
      </c>
      <c r="F50" s="2" t="s">
        <v>8</v>
      </c>
    </row>
    <row r="51" spans="1:6" x14ac:dyDescent="0.25">
      <c r="A51" s="2" t="s">
        <v>67</v>
      </c>
      <c r="B51" s="2" t="s">
        <v>17</v>
      </c>
      <c r="C51" s="2" t="s">
        <v>133</v>
      </c>
      <c r="D51" s="3">
        <v>46072</v>
      </c>
      <c r="E51" s="2">
        <v>11146097</v>
      </c>
      <c r="F51" s="2" t="s">
        <v>11</v>
      </c>
    </row>
    <row r="52" spans="1:6" x14ac:dyDescent="0.25">
      <c r="A52" s="2" t="s">
        <v>68</v>
      </c>
      <c r="B52" s="2" t="s">
        <v>7</v>
      </c>
      <c r="C52" s="2" t="s">
        <v>131</v>
      </c>
      <c r="D52" s="3">
        <v>46073</v>
      </c>
      <c r="E52" s="2">
        <v>14291261</v>
      </c>
      <c r="F52" s="2" t="s">
        <v>15</v>
      </c>
    </row>
    <row r="53" spans="1:6" x14ac:dyDescent="0.25">
      <c r="A53" s="2" t="s">
        <v>53</v>
      </c>
      <c r="B53" s="2" t="s">
        <v>10</v>
      </c>
      <c r="C53" s="2" t="s">
        <v>129</v>
      </c>
      <c r="D53" s="3">
        <v>46074</v>
      </c>
      <c r="E53" s="2">
        <v>19282629</v>
      </c>
      <c r="F53" s="2" t="s">
        <v>11</v>
      </c>
    </row>
    <row r="54" spans="1:6" x14ac:dyDescent="0.25">
      <c r="A54" s="2" t="s">
        <v>38</v>
      </c>
      <c r="B54" s="2" t="s">
        <v>13</v>
      </c>
      <c r="C54" s="2" t="s">
        <v>128</v>
      </c>
      <c r="D54" s="3">
        <v>46075</v>
      </c>
      <c r="E54" s="2">
        <v>471836</v>
      </c>
      <c r="F54" s="2" t="s">
        <v>21</v>
      </c>
    </row>
    <row r="55" spans="1:6" x14ac:dyDescent="0.25">
      <c r="A55" s="2" t="s">
        <v>69</v>
      </c>
      <c r="B55" s="2" t="s">
        <v>13</v>
      </c>
      <c r="C55" s="2" t="s">
        <v>23</v>
      </c>
      <c r="D55" s="3">
        <v>46076</v>
      </c>
      <c r="E55" s="2">
        <v>3784702</v>
      </c>
      <c r="F55" s="2" t="s">
        <v>15</v>
      </c>
    </row>
    <row r="56" spans="1:6" x14ac:dyDescent="0.25">
      <c r="A56" s="2" t="s">
        <v>70</v>
      </c>
      <c r="B56" s="2" t="s">
        <v>13</v>
      </c>
      <c r="C56" s="2" t="s">
        <v>128</v>
      </c>
      <c r="D56" s="3">
        <v>46077</v>
      </c>
      <c r="E56" s="2">
        <v>7481369</v>
      </c>
      <c r="F56" s="2" t="s">
        <v>21</v>
      </c>
    </row>
    <row r="57" spans="1:6" x14ac:dyDescent="0.25">
      <c r="A57" s="2" t="s">
        <v>71</v>
      </c>
      <c r="B57" s="2" t="s">
        <v>7</v>
      </c>
      <c r="C57" s="2" t="s">
        <v>133</v>
      </c>
      <c r="D57" s="3">
        <v>46078</v>
      </c>
      <c r="E57" s="2">
        <v>19276651</v>
      </c>
      <c r="F57" s="2" t="s">
        <v>8</v>
      </c>
    </row>
    <row r="58" spans="1:6" x14ac:dyDescent="0.25">
      <c r="A58" s="2" t="s">
        <v>72</v>
      </c>
      <c r="B58" s="2" t="s">
        <v>7</v>
      </c>
      <c r="C58" s="2" t="s">
        <v>133</v>
      </c>
      <c r="D58" s="3">
        <v>46079</v>
      </c>
      <c r="E58" s="2">
        <v>8785377</v>
      </c>
      <c r="F58" s="2" t="s">
        <v>8</v>
      </c>
    </row>
    <row r="59" spans="1:6" x14ac:dyDescent="0.25">
      <c r="A59" s="2" t="s">
        <v>73</v>
      </c>
      <c r="B59" s="2" t="s">
        <v>36</v>
      </c>
      <c r="C59" s="2" t="s">
        <v>135</v>
      </c>
      <c r="D59" s="3">
        <v>46080</v>
      </c>
      <c r="E59" s="2">
        <v>19635721</v>
      </c>
      <c r="F59" s="2" t="s">
        <v>21</v>
      </c>
    </row>
    <row r="60" spans="1:6" x14ac:dyDescent="0.25">
      <c r="A60" s="2" t="s">
        <v>74</v>
      </c>
      <c r="B60" s="2" t="s">
        <v>10</v>
      </c>
      <c r="C60" s="2" t="s">
        <v>134</v>
      </c>
      <c r="D60" s="3">
        <v>46081</v>
      </c>
      <c r="E60" s="2">
        <v>18248957</v>
      </c>
      <c r="F60" s="2" t="s">
        <v>15</v>
      </c>
    </row>
    <row r="61" spans="1:6" x14ac:dyDescent="0.25">
      <c r="A61" s="2" t="s">
        <v>75</v>
      </c>
      <c r="B61" s="2" t="s">
        <v>36</v>
      </c>
      <c r="C61" s="2" t="s">
        <v>128</v>
      </c>
      <c r="D61" s="3">
        <v>46082</v>
      </c>
      <c r="E61" s="2">
        <v>18024013</v>
      </c>
      <c r="F61" s="2" t="s">
        <v>21</v>
      </c>
    </row>
    <row r="62" spans="1:6" x14ac:dyDescent="0.25">
      <c r="A62" s="2" t="s">
        <v>76</v>
      </c>
      <c r="B62" s="2" t="s">
        <v>13</v>
      </c>
      <c r="C62" s="2" t="s">
        <v>130</v>
      </c>
      <c r="D62" s="3">
        <v>46083</v>
      </c>
      <c r="E62" s="2">
        <v>3247262</v>
      </c>
      <c r="F62" s="2" t="s">
        <v>15</v>
      </c>
    </row>
    <row r="63" spans="1:6" x14ac:dyDescent="0.25">
      <c r="A63" s="2" t="s">
        <v>77</v>
      </c>
      <c r="B63" s="2" t="s">
        <v>17</v>
      </c>
      <c r="C63" s="2" t="s">
        <v>132</v>
      </c>
      <c r="D63" s="3">
        <v>46084</v>
      </c>
      <c r="E63" s="2">
        <v>11173639</v>
      </c>
      <c r="F63" s="2" t="s">
        <v>21</v>
      </c>
    </row>
    <row r="64" spans="1:6" x14ac:dyDescent="0.25">
      <c r="A64" s="2" t="s">
        <v>78</v>
      </c>
      <c r="B64" s="2" t="s">
        <v>10</v>
      </c>
      <c r="C64" s="2" t="s">
        <v>129</v>
      </c>
      <c r="D64" s="3">
        <v>46085</v>
      </c>
      <c r="E64" s="2">
        <v>764685</v>
      </c>
      <c r="F64" s="2" t="s">
        <v>21</v>
      </c>
    </row>
    <row r="65" spans="1:6" x14ac:dyDescent="0.25">
      <c r="A65" s="2" t="s">
        <v>79</v>
      </c>
      <c r="B65" s="2" t="s">
        <v>13</v>
      </c>
      <c r="C65" s="2" t="s">
        <v>134</v>
      </c>
      <c r="D65" s="3">
        <v>46086</v>
      </c>
      <c r="E65" s="2">
        <v>3079190</v>
      </c>
      <c r="F65" s="2" t="s">
        <v>11</v>
      </c>
    </row>
    <row r="66" spans="1:6" x14ac:dyDescent="0.25">
      <c r="A66" s="2" t="s">
        <v>69</v>
      </c>
      <c r="B66" s="2" t="s">
        <v>7</v>
      </c>
      <c r="C66" s="2" t="s">
        <v>18</v>
      </c>
      <c r="D66" s="3">
        <v>46087</v>
      </c>
      <c r="E66" s="2">
        <v>1207293</v>
      </c>
      <c r="F66" s="2" t="s">
        <v>15</v>
      </c>
    </row>
    <row r="67" spans="1:6" x14ac:dyDescent="0.25">
      <c r="A67" s="2" t="s">
        <v>80</v>
      </c>
      <c r="B67" s="2" t="s">
        <v>17</v>
      </c>
      <c r="C67" s="2" t="s">
        <v>18</v>
      </c>
      <c r="D67" s="3">
        <v>46088</v>
      </c>
      <c r="E67" s="2">
        <v>3566612</v>
      </c>
      <c r="F67" s="2" t="s">
        <v>21</v>
      </c>
    </row>
    <row r="68" spans="1:6" x14ac:dyDescent="0.25">
      <c r="A68" s="2" t="s">
        <v>81</v>
      </c>
      <c r="B68" s="2" t="s">
        <v>7</v>
      </c>
      <c r="C68" s="2" t="s">
        <v>130</v>
      </c>
      <c r="D68" s="3">
        <v>46089</v>
      </c>
      <c r="E68" s="2">
        <v>2904238</v>
      </c>
      <c r="F68" s="2" t="s">
        <v>11</v>
      </c>
    </row>
    <row r="69" spans="1:6" x14ac:dyDescent="0.25">
      <c r="A69" s="2" t="s">
        <v>82</v>
      </c>
      <c r="B69" s="2" t="s">
        <v>7</v>
      </c>
      <c r="C69" s="2" t="s">
        <v>134</v>
      </c>
      <c r="D69" s="3">
        <v>46090</v>
      </c>
      <c r="E69" s="2">
        <v>2830708</v>
      </c>
      <c r="F69" s="2" t="s">
        <v>15</v>
      </c>
    </row>
    <row r="70" spans="1:6" x14ac:dyDescent="0.25">
      <c r="A70" s="2" t="s">
        <v>83</v>
      </c>
      <c r="B70" s="2" t="s">
        <v>10</v>
      </c>
      <c r="C70" s="2" t="s">
        <v>129</v>
      </c>
      <c r="D70" s="3">
        <v>46091</v>
      </c>
      <c r="E70" s="2">
        <v>3694679</v>
      </c>
      <c r="F70" s="2" t="s">
        <v>8</v>
      </c>
    </row>
    <row r="71" spans="1:6" x14ac:dyDescent="0.25">
      <c r="A71" s="2" t="s">
        <v>84</v>
      </c>
      <c r="B71" s="2" t="s">
        <v>13</v>
      </c>
      <c r="C71" s="2" t="s">
        <v>134</v>
      </c>
      <c r="D71" s="3">
        <v>46092</v>
      </c>
      <c r="E71" s="2">
        <v>18744856</v>
      </c>
      <c r="F71" s="2" t="s">
        <v>21</v>
      </c>
    </row>
    <row r="72" spans="1:6" x14ac:dyDescent="0.25">
      <c r="A72" s="2" t="s">
        <v>30</v>
      </c>
      <c r="B72" s="2" t="s">
        <v>36</v>
      </c>
      <c r="C72" s="2" t="s">
        <v>135</v>
      </c>
      <c r="D72" s="3">
        <v>46093</v>
      </c>
      <c r="E72" s="2">
        <v>15806139</v>
      </c>
      <c r="F72" s="2" t="s">
        <v>15</v>
      </c>
    </row>
    <row r="73" spans="1:6" x14ac:dyDescent="0.25">
      <c r="A73" s="2" t="s">
        <v>85</v>
      </c>
      <c r="B73" s="2" t="s">
        <v>36</v>
      </c>
      <c r="C73" s="2" t="s">
        <v>129</v>
      </c>
      <c r="D73" s="3">
        <v>46094</v>
      </c>
      <c r="E73" s="2">
        <v>11202348</v>
      </c>
      <c r="F73" s="2" t="s">
        <v>15</v>
      </c>
    </row>
    <row r="74" spans="1:6" x14ac:dyDescent="0.25">
      <c r="A74" s="2" t="s">
        <v>86</v>
      </c>
      <c r="B74" s="2" t="s">
        <v>17</v>
      </c>
      <c r="C74" s="2" t="s">
        <v>23</v>
      </c>
      <c r="D74" s="3">
        <v>46095</v>
      </c>
      <c r="E74" s="2">
        <v>1485160</v>
      </c>
      <c r="F74" s="2" t="s">
        <v>15</v>
      </c>
    </row>
    <row r="75" spans="1:6" x14ac:dyDescent="0.25">
      <c r="A75" s="2" t="s">
        <v>87</v>
      </c>
      <c r="B75" s="2" t="s">
        <v>17</v>
      </c>
      <c r="C75" s="2" t="s">
        <v>128</v>
      </c>
      <c r="D75" s="3">
        <v>46096</v>
      </c>
      <c r="E75" s="2">
        <v>5373036</v>
      </c>
      <c r="F75" s="2" t="s">
        <v>15</v>
      </c>
    </row>
    <row r="76" spans="1:6" x14ac:dyDescent="0.25">
      <c r="A76" s="2" t="s">
        <v>88</v>
      </c>
      <c r="B76" s="2" t="s">
        <v>36</v>
      </c>
      <c r="C76" s="2" t="s">
        <v>135</v>
      </c>
      <c r="D76" s="3">
        <v>46097</v>
      </c>
      <c r="E76" s="2">
        <v>18402688</v>
      </c>
      <c r="F76" s="2" t="s">
        <v>8</v>
      </c>
    </row>
    <row r="77" spans="1:6" x14ac:dyDescent="0.25">
      <c r="A77" s="2" t="s">
        <v>89</v>
      </c>
      <c r="B77" s="2" t="s">
        <v>36</v>
      </c>
      <c r="C77" s="2" t="s">
        <v>18</v>
      </c>
      <c r="D77" s="3">
        <v>46098</v>
      </c>
      <c r="E77" s="2">
        <v>248984</v>
      </c>
      <c r="F77" s="2" t="s">
        <v>15</v>
      </c>
    </row>
    <row r="78" spans="1:6" x14ac:dyDescent="0.25">
      <c r="A78" s="2" t="s">
        <v>90</v>
      </c>
      <c r="B78" s="2" t="s">
        <v>7</v>
      </c>
      <c r="C78" s="2" t="s">
        <v>129</v>
      </c>
      <c r="D78" s="3">
        <v>46099</v>
      </c>
      <c r="E78" s="2">
        <v>10988678</v>
      </c>
      <c r="F78" s="2" t="s">
        <v>15</v>
      </c>
    </row>
    <row r="79" spans="1:6" x14ac:dyDescent="0.25">
      <c r="A79" s="2" t="s">
        <v>91</v>
      </c>
      <c r="B79" s="2" t="s">
        <v>7</v>
      </c>
      <c r="C79" s="2" t="s">
        <v>131</v>
      </c>
      <c r="D79" s="3">
        <v>46100</v>
      </c>
      <c r="E79" s="2">
        <v>6756168</v>
      </c>
      <c r="F79" s="2" t="s">
        <v>11</v>
      </c>
    </row>
    <row r="80" spans="1:6" x14ac:dyDescent="0.25">
      <c r="A80" s="2" t="s">
        <v>92</v>
      </c>
      <c r="B80" s="2" t="s">
        <v>7</v>
      </c>
      <c r="C80" s="2" t="s">
        <v>18</v>
      </c>
      <c r="D80" s="3">
        <v>46101</v>
      </c>
      <c r="E80" s="2">
        <v>18481600</v>
      </c>
      <c r="F80" s="2" t="s">
        <v>11</v>
      </c>
    </row>
    <row r="81" spans="1:6" x14ac:dyDescent="0.25">
      <c r="A81" s="2" t="s">
        <v>93</v>
      </c>
      <c r="B81" s="2" t="s">
        <v>10</v>
      </c>
      <c r="C81" s="2" t="s">
        <v>129</v>
      </c>
      <c r="D81" s="3">
        <v>46102</v>
      </c>
      <c r="E81" s="2">
        <v>14816555</v>
      </c>
      <c r="F81" s="2" t="s">
        <v>11</v>
      </c>
    </row>
    <row r="82" spans="1:6" x14ac:dyDescent="0.25">
      <c r="A82" s="2" t="s">
        <v>94</v>
      </c>
      <c r="B82" s="2" t="s">
        <v>13</v>
      </c>
      <c r="C82" s="2" t="s">
        <v>130</v>
      </c>
      <c r="D82" s="3">
        <v>46103</v>
      </c>
      <c r="E82" s="2">
        <v>19208135</v>
      </c>
      <c r="F82" s="2" t="s">
        <v>21</v>
      </c>
    </row>
    <row r="83" spans="1:6" x14ac:dyDescent="0.25">
      <c r="A83" s="2" t="s">
        <v>95</v>
      </c>
      <c r="B83" s="2" t="s">
        <v>13</v>
      </c>
      <c r="C83" s="2" t="s">
        <v>127</v>
      </c>
      <c r="D83" s="3">
        <v>46104</v>
      </c>
      <c r="E83" s="2">
        <v>12919242</v>
      </c>
      <c r="F83" s="2" t="s">
        <v>8</v>
      </c>
    </row>
    <row r="84" spans="1:6" x14ac:dyDescent="0.25">
      <c r="A84" s="2" t="s">
        <v>96</v>
      </c>
      <c r="B84" s="2" t="s">
        <v>13</v>
      </c>
      <c r="C84" s="2" t="s">
        <v>128</v>
      </c>
      <c r="D84" s="3">
        <v>46105</v>
      </c>
      <c r="E84" s="2">
        <v>15360818</v>
      </c>
      <c r="F84" s="2" t="s">
        <v>8</v>
      </c>
    </row>
    <row r="85" spans="1:6" x14ac:dyDescent="0.25">
      <c r="A85" s="2" t="s">
        <v>97</v>
      </c>
      <c r="B85" s="2" t="s">
        <v>10</v>
      </c>
      <c r="C85" s="2" t="s">
        <v>131</v>
      </c>
      <c r="D85" s="3">
        <v>46106</v>
      </c>
      <c r="E85" s="2">
        <v>16230288</v>
      </c>
      <c r="F85" s="2" t="s">
        <v>8</v>
      </c>
    </row>
    <row r="86" spans="1:6" x14ac:dyDescent="0.25">
      <c r="A86" s="2" t="s">
        <v>98</v>
      </c>
      <c r="B86" s="2" t="s">
        <v>7</v>
      </c>
      <c r="C86" s="2" t="s">
        <v>131</v>
      </c>
      <c r="D86" s="3">
        <v>46107</v>
      </c>
      <c r="E86" s="2">
        <v>1937095</v>
      </c>
      <c r="F86" s="2" t="s">
        <v>15</v>
      </c>
    </row>
    <row r="87" spans="1:6" x14ac:dyDescent="0.25">
      <c r="A87" s="2" t="s">
        <v>99</v>
      </c>
      <c r="B87" s="2" t="s">
        <v>13</v>
      </c>
      <c r="C87" s="2" t="s">
        <v>18</v>
      </c>
      <c r="D87" s="3">
        <v>46108</v>
      </c>
      <c r="E87" s="2">
        <v>10699746</v>
      </c>
      <c r="F87" s="2" t="s">
        <v>15</v>
      </c>
    </row>
    <row r="88" spans="1:6" x14ac:dyDescent="0.25">
      <c r="A88" s="2" t="s">
        <v>100</v>
      </c>
      <c r="B88" s="2" t="s">
        <v>36</v>
      </c>
      <c r="C88" s="2" t="s">
        <v>134</v>
      </c>
      <c r="D88" s="3">
        <v>46109</v>
      </c>
      <c r="E88" s="2">
        <v>4980450</v>
      </c>
      <c r="F88" s="2" t="s">
        <v>8</v>
      </c>
    </row>
    <row r="89" spans="1:6" x14ac:dyDescent="0.25">
      <c r="A89" s="2" t="s">
        <v>101</v>
      </c>
      <c r="B89" s="2" t="s">
        <v>10</v>
      </c>
      <c r="C89" s="2" t="s">
        <v>132</v>
      </c>
      <c r="D89" s="3">
        <v>46110</v>
      </c>
      <c r="E89" s="2">
        <v>19087034</v>
      </c>
      <c r="F89" s="2" t="s">
        <v>21</v>
      </c>
    </row>
    <row r="90" spans="1:6" x14ac:dyDescent="0.25">
      <c r="A90" s="2" t="s">
        <v>102</v>
      </c>
      <c r="B90" s="2" t="s">
        <v>13</v>
      </c>
      <c r="C90" s="2" t="s">
        <v>128</v>
      </c>
      <c r="D90" s="3">
        <v>46111</v>
      </c>
      <c r="E90" s="2">
        <v>16229444</v>
      </c>
      <c r="F90" s="2" t="s">
        <v>15</v>
      </c>
    </row>
    <row r="91" spans="1:6" x14ac:dyDescent="0.25">
      <c r="A91" s="2" t="s">
        <v>103</v>
      </c>
      <c r="B91" s="2" t="s">
        <v>36</v>
      </c>
      <c r="C91" s="2" t="s">
        <v>127</v>
      </c>
      <c r="D91" s="3">
        <v>46112</v>
      </c>
      <c r="E91" s="2">
        <v>19209001</v>
      </c>
      <c r="F91" s="2" t="s">
        <v>8</v>
      </c>
    </row>
    <row r="92" spans="1:6" x14ac:dyDescent="0.25">
      <c r="A92" s="2" t="s">
        <v>104</v>
      </c>
      <c r="B92" s="2" t="s">
        <v>17</v>
      </c>
      <c r="C92" s="2" t="s">
        <v>134</v>
      </c>
      <c r="D92" s="3">
        <v>46113</v>
      </c>
      <c r="E92" s="2">
        <v>11536697</v>
      </c>
      <c r="F92" s="2" t="s">
        <v>8</v>
      </c>
    </row>
    <row r="93" spans="1:6" x14ac:dyDescent="0.25">
      <c r="A93" s="2" t="s">
        <v>105</v>
      </c>
      <c r="B93" s="2" t="s">
        <v>36</v>
      </c>
      <c r="C93" s="2" t="s">
        <v>132</v>
      </c>
      <c r="D93" s="3">
        <v>46114</v>
      </c>
      <c r="E93" s="2">
        <v>4053339</v>
      </c>
      <c r="F93" s="2" t="s">
        <v>8</v>
      </c>
    </row>
    <row r="94" spans="1:6" x14ac:dyDescent="0.25">
      <c r="A94" s="2" t="s">
        <v>106</v>
      </c>
      <c r="B94" s="2" t="s">
        <v>10</v>
      </c>
      <c r="C94" s="2" t="s">
        <v>129</v>
      </c>
      <c r="D94" s="3">
        <v>46115</v>
      </c>
      <c r="E94" s="2">
        <v>16213446</v>
      </c>
      <c r="F94" s="2" t="s">
        <v>8</v>
      </c>
    </row>
    <row r="95" spans="1:6" x14ac:dyDescent="0.25">
      <c r="A95" s="2" t="s">
        <v>107</v>
      </c>
      <c r="B95" s="2" t="s">
        <v>13</v>
      </c>
      <c r="C95" s="2" t="s">
        <v>127</v>
      </c>
      <c r="D95" s="3">
        <v>46116</v>
      </c>
      <c r="E95" s="2">
        <v>17973323</v>
      </c>
      <c r="F95" s="2" t="s">
        <v>21</v>
      </c>
    </row>
    <row r="96" spans="1:6" x14ac:dyDescent="0.25">
      <c r="A96" s="2" t="s">
        <v>108</v>
      </c>
      <c r="B96" s="2" t="s">
        <v>13</v>
      </c>
      <c r="C96" s="2" t="s">
        <v>18</v>
      </c>
      <c r="D96" s="3">
        <v>46117</v>
      </c>
      <c r="E96" s="2">
        <v>12110049</v>
      </c>
      <c r="F96" s="2" t="s">
        <v>21</v>
      </c>
    </row>
    <row r="97" spans="1:6" x14ac:dyDescent="0.25">
      <c r="A97" s="2" t="s">
        <v>109</v>
      </c>
      <c r="B97" s="2" t="s">
        <v>17</v>
      </c>
      <c r="C97" s="2" t="s">
        <v>132</v>
      </c>
      <c r="D97" s="3">
        <v>46118</v>
      </c>
      <c r="E97" s="2">
        <v>7330144</v>
      </c>
      <c r="F97" s="2" t="s">
        <v>8</v>
      </c>
    </row>
    <row r="98" spans="1:6" x14ac:dyDescent="0.25">
      <c r="A98" s="2" t="s">
        <v>110</v>
      </c>
      <c r="B98" s="2" t="s">
        <v>17</v>
      </c>
      <c r="C98" s="2" t="s">
        <v>131</v>
      </c>
      <c r="D98" s="3">
        <v>46119</v>
      </c>
      <c r="E98" s="2">
        <v>4745583</v>
      </c>
      <c r="F98" s="2" t="s">
        <v>21</v>
      </c>
    </row>
    <row r="99" spans="1:6" x14ac:dyDescent="0.25">
      <c r="A99" s="2" t="s">
        <v>111</v>
      </c>
      <c r="B99" s="2" t="s">
        <v>10</v>
      </c>
      <c r="C99" s="2" t="s">
        <v>131</v>
      </c>
      <c r="D99" s="3">
        <v>46120</v>
      </c>
      <c r="E99" s="2">
        <v>15793974</v>
      </c>
      <c r="F99" s="2" t="s">
        <v>8</v>
      </c>
    </row>
    <row r="100" spans="1:6" x14ac:dyDescent="0.25">
      <c r="A100" s="2" t="s">
        <v>112</v>
      </c>
      <c r="B100" s="2" t="s">
        <v>10</v>
      </c>
      <c r="C100" s="2" t="s">
        <v>129</v>
      </c>
      <c r="D100" s="3">
        <v>46121</v>
      </c>
      <c r="E100" s="2">
        <v>8188004</v>
      </c>
      <c r="F100" s="2" t="s">
        <v>15</v>
      </c>
    </row>
    <row r="101" spans="1:6" x14ac:dyDescent="0.25">
      <c r="A101" s="2" t="s">
        <v>113</v>
      </c>
      <c r="B101" s="2" t="s">
        <v>13</v>
      </c>
      <c r="C101" s="2" t="s">
        <v>18</v>
      </c>
      <c r="D101" s="3">
        <v>46122</v>
      </c>
      <c r="E101" s="2">
        <v>13272482</v>
      </c>
      <c r="F101"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CCA2F-6994-45AE-8BD1-989C8254E516}">
  <dimension ref="A1:F101"/>
  <sheetViews>
    <sheetView workbookViewId="0">
      <selection activeCell="X13" sqref="X13"/>
    </sheetView>
  </sheetViews>
  <sheetFormatPr defaultRowHeight="15" x14ac:dyDescent="0.25"/>
  <cols>
    <col min="1" max="1" width="8.875" customWidth="1"/>
    <col min="2" max="2" width="15.875" customWidth="1"/>
    <col min="3" max="3" width="13.5" customWidth="1"/>
    <col min="4" max="4" width="18.25" customWidth="1"/>
    <col min="5" max="6" width="12.625" customWidth="1"/>
  </cols>
  <sheetData>
    <row r="1" spans="1:6" x14ac:dyDescent="0.25">
      <c r="A1" s="1" t="s">
        <v>0</v>
      </c>
      <c r="B1" s="5" t="s">
        <v>1</v>
      </c>
      <c r="C1" s="1" t="s">
        <v>2</v>
      </c>
      <c r="D1" s="1" t="s">
        <v>3</v>
      </c>
      <c r="E1" s="1" t="s">
        <v>4</v>
      </c>
      <c r="F1" s="1" t="s">
        <v>5</v>
      </c>
    </row>
    <row r="2" spans="1:6" x14ac:dyDescent="0.25">
      <c r="A2" s="2" t="s">
        <v>6</v>
      </c>
      <c r="B2" s="2" t="s">
        <v>161</v>
      </c>
      <c r="C2" s="2" t="s">
        <v>127</v>
      </c>
      <c r="D2" s="6">
        <v>46023</v>
      </c>
      <c r="E2" s="7">
        <v>11628388.222222222</v>
      </c>
      <c r="F2" s="2" t="s">
        <v>8</v>
      </c>
    </row>
    <row r="3" spans="1:6" x14ac:dyDescent="0.25">
      <c r="A3" s="2" t="s">
        <v>9</v>
      </c>
      <c r="B3" s="2" t="s">
        <v>162</v>
      </c>
      <c r="C3" s="2" t="s">
        <v>128</v>
      </c>
      <c r="D3" s="6">
        <v>46024</v>
      </c>
      <c r="E3" s="7">
        <v>9409891.1500000004</v>
      </c>
      <c r="F3" s="2" t="s">
        <v>11</v>
      </c>
    </row>
    <row r="4" spans="1:6" x14ac:dyDescent="0.25">
      <c r="A4" s="2" t="s">
        <v>12</v>
      </c>
      <c r="B4" s="2" t="s">
        <v>163</v>
      </c>
      <c r="C4" s="2" t="s">
        <v>129</v>
      </c>
      <c r="D4" s="6">
        <v>46025</v>
      </c>
      <c r="E4" s="7">
        <v>9409891.1500000004</v>
      </c>
      <c r="F4" s="2" t="s">
        <v>11</v>
      </c>
    </row>
    <row r="5" spans="1:6" x14ac:dyDescent="0.25">
      <c r="A5" s="2" t="s">
        <v>14</v>
      </c>
      <c r="B5" s="2" t="s">
        <v>161</v>
      </c>
      <c r="C5" s="2" t="s">
        <v>128</v>
      </c>
      <c r="D5" s="6">
        <v>46026</v>
      </c>
      <c r="E5" s="7">
        <v>8111595.8399999999</v>
      </c>
      <c r="F5" s="2" t="s">
        <v>15</v>
      </c>
    </row>
    <row r="6" spans="1:6" x14ac:dyDescent="0.25">
      <c r="A6" s="2" t="s">
        <v>16</v>
      </c>
      <c r="B6" s="2" t="s">
        <v>164</v>
      </c>
      <c r="C6" s="2" t="s">
        <v>130</v>
      </c>
      <c r="D6" s="6">
        <v>46027</v>
      </c>
      <c r="E6" s="7">
        <v>8111595.8399999999</v>
      </c>
      <c r="F6" s="2" t="s">
        <v>15</v>
      </c>
    </row>
    <row r="7" spans="1:6" x14ac:dyDescent="0.25">
      <c r="A7" s="2" t="s">
        <v>19</v>
      </c>
      <c r="B7" s="2" t="s">
        <v>163</v>
      </c>
      <c r="C7" s="2" t="s">
        <v>129</v>
      </c>
      <c r="D7" s="6">
        <v>46028</v>
      </c>
      <c r="E7" s="7">
        <v>11628388.222222222</v>
      </c>
      <c r="F7" s="2" t="s">
        <v>8</v>
      </c>
    </row>
    <row r="8" spans="1:6" x14ac:dyDescent="0.25">
      <c r="A8" s="2" t="s">
        <v>20</v>
      </c>
      <c r="B8" s="2" t="s">
        <v>161</v>
      </c>
      <c r="C8" s="2" t="s">
        <v>131</v>
      </c>
      <c r="D8" s="6">
        <v>46029</v>
      </c>
      <c r="E8" s="7">
        <v>7604852</v>
      </c>
      <c r="F8" s="2" t="s">
        <v>21</v>
      </c>
    </row>
    <row r="9" spans="1:6" x14ac:dyDescent="0.25">
      <c r="A9" s="2" t="s">
        <v>22</v>
      </c>
      <c r="B9" s="2" t="s">
        <v>163</v>
      </c>
      <c r="C9" s="2" t="s">
        <v>129</v>
      </c>
      <c r="D9" s="6">
        <v>46030</v>
      </c>
      <c r="E9" s="7">
        <v>5181505</v>
      </c>
      <c r="F9" s="2" t="s">
        <v>15</v>
      </c>
    </row>
    <row r="10" spans="1:6" x14ac:dyDescent="0.25">
      <c r="A10" s="2" t="s">
        <v>24</v>
      </c>
      <c r="B10" s="2" t="s">
        <v>163</v>
      </c>
      <c r="C10" s="2" t="s">
        <v>130</v>
      </c>
      <c r="D10" s="6">
        <v>46031</v>
      </c>
      <c r="E10" s="7">
        <v>14153367</v>
      </c>
      <c r="F10" s="2" t="s">
        <v>21</v>
      </c>
    </row>
    <row r="11" spans="1:6" x14ac:dyDescent="0.25">
      <c r="A11" s="2" t="s">
        <v>25</v>
      </c>
      <c r="B11" s="2" t="s">
        <v>162</v>
      </c>
      <c r="C11" s="2" t="s">
        <v>18</v>
      </c>
      <c r="D11" s="6">
        <v>46032</v>
      </c>
      <c r="E11" s="7">
        <v>18744107</v>
      </c>
      <c r="F11" s="2" t="s">
        <v>15</v>
      </c>
    </row>
    <row r="12" spans="1:6" x14ac:dyDescent="0.25">
      <c r="A12" s="2" t="s">
        <v>26</v>
      </c>
      <c r="B12" s="2" t="s">
        <v>156</v>
      </c>
      <c r="C12" s="2" t="s">
        <v>129</v>
      </c>
      <c r="D12" s="6">
        <v>46033</v>
      </c>
      <c r="E12" s="7">
        <v>4721373</v>
      </c>
      <c r="F12" s="2" t="s">
        <v>11</v>
      </c>
    </row>
    <row r="13" spans="1:6" x14ac:dyDescent="0.25">
      <c r="A13" s="2" t="s">
        <v>28</v>
      </c>
      <c r="B13" s="2" t="s">
        <v>161</v>
      </c>
      <c r="C13" s="2" t="s">
        <v>131</v>
      </c>
      <c r="D13" s="6">
        <v>46034</v>
      </c>
      <c r="E13" s="7">
        <v>6219877</v>
      </c>
      <c r="F13" s="2" t="s">
        <v>11</v>
      </c>
    </row>
    <row r="14" spans="1:6" x14ac:dyDescent="0.25">
      <c r="A14" s="2" t="s">
        <v>29</v>
      </c>
      <c r="B14" s="2" t="s">
        <v>162</v>
      </c>
      <c r="C14" s="2" t="s">
        <v>131</v>
      </c>
      <c r="D14" s="6">
        <v>46035</v>
      </c>
      <c r="E14" s="7">
        <v>3544769</v>
      </c>
      <c r="F14" s="2" t="s">
        <v>8</v>
      </c>
    </row>
    <row r="15" spans="1:6" x14ac:dyDescent="0.25">
      <c r="A15" s="2" t="s">
        <v>30</v>
      </c>
      <c r="B15" s="2" t="s">
        <v>163</v>
      </c>
      <c r="C15" s="2" t="s">
        <v>132</v>
      </c>
      <c r="D15" s="6">
        <v>46036</v>
      </c>
      <c r="E15" s="7">
        <v>9380351</v>
      </c>
      <c r="F15" s="2" t="s">
        <v>11</v>
      </c>
    </row>
    <row r="16" spans="1:6" x14ac:dyDescent="0.25">
      <c r="A16" s="2" t="s">
        <v>31</v>
      </c>
      <c r="B16" s="2" t="s">
        <v>161</v>
      </c>
      <c r="C16" s="2" t="s">
        <v>130</v>
      </c>
      <c r="D16" s="6">
        <v>46037</v>
      </c>
      <c r="E16" s="7">
        <v>303355</v>
      </c>
      <c r="F16" s="2" t="s">
        <v>11</v>
      </c>
    </row>
    <row r="17" spans="1:6" x14ac:dyDescent="0.25">
      <c r="A17" s="2" t="s">
        <v>32</v>
      </c>
      <c r="B17" s="2" t="s">
        <v>164</v>
      </c>
      <c r="C17" s="2" t="s">
        <v>133</v>
      </c>
      <c r="D17" s="6">
        <v>46038</v>
      </c>
      <c r="E17" s="7">
        <v>16164436</v>
      </c>
      <c r="F17" s="2" t="s">
        <v>15</v>
      </c>
    </row>
    <row r="18" spans="1:6" x14ac:dyDescent="0.25">
      <c r="A18" s="2" t="s">
        <v>33</v>
      </c>
      <c r="B18" s="2" t="s">
        <v>163</v>
      </c>
      <c r="C18" s="2" t="s">
        <v>127</v>
      </c>
      <c r="D18" s="6">
        <v>46039</v>
      </c>
      <c r="E18" s="7">
        <v>1462752</v>
      </c>
      <c r="F18" s="2" t="s">
        <v>15</v>
      </c>
    </row>
    <row r="19" spans="1:6" x14ac:dyDescent="0.25">
      <c r="A19" s="2" t="s">
        <v>34</v>
      </c>
      <c r="B19" s="2" t="s">
        <v>164</v>
      </c>
      <c r="C19" s="2" t="s">
        <v>134</v>
      </c>
      <c r="D19" s="6">
        <v>46040</v>
      </c>
      <c r="E19" s="7">
        <v>9984633</v>
      </c>
      <c r="F19" s="2" t="s">
        <v>15</v>
      </c>
    </row>
    <row r="20" spans="1:6" x14ac:dyDescent="0.25">
      <c r="A20" s="2" t="s">
        <v>35</v>
      </c>
      <c r="B20" s="2" t="s">
        <v>165</v>
      </c>
      <c r="C20" s="2" t="s">
        <v>129</v>
      </c>
      <c r="D20" s="6">
        <v>46041</v>
      </c>
      <c r="E20" s="7">
        <v>5864789</v>
      </c>
      <c r="F20" s="2" t="s">
        <v>11</v>
      </c>
    </row>
    <row r="21" spans="1:6" x14ac:dyDescent="0.25">
      <c r="A21" s="2" t="s">
        <v>37</v>
      </c>
      <c r="B21" s="2" t="s">
        <v>161</v>
      </c>
      <c r="C21" s="2" t="s">
        <v>130</v>
      </c>
      <c r="D21" s="6">
        <v>46042</v>
      </c>
      <c r="E21" s="7">
        <v>9895979</v>
      </c>
      <c r="F21" s="2" t="s">
        <v>8</v>
      </c>
    </row>
    <row r="22" spans="1:6" x14ac:dyDescent="0.25">
      <c r="A22" s="2" t="s">
        <v>38</v>
      </c>
      <c r="B22" s="2" t="s">
        <v>163</v>
      </c>
      <c r="C22" s="2" t="s">
        <v>134</v>
      </c>
      <c r="D22" s="6">
        <v>46043</v>
      </c>
      <c r="E22" s="7">
        <v>9505648</v>
      </c>
      <c r="F22" s="2" t="s">
        <v>21</v>
      </c>
    </row>
    <row r="23" spans="1:6" x14ac:dyDescent="0.25">
      <c r="A23" s="2" t="s">
        <v>39</v>
      </c>
      <c r="B23" s="2" t="s">
        <v>164</v>
      </c>
      <c r="C23" s="2" t="s">
        <v>18</v>
      </c>
      <c r="D23" s="6">
        <v>46044</v>
      </c>
      <c r="E23" s="7">
        <v>5943066</v>
      </c>
      <c r="F23" s="2" t="s">
        <v>8</v>
      </c>
    </row>
    <row r="24" spans="1:6" x14ac:dyDescent="0.25">
      <c r="A24" s="2" t="s">
        <v>40</v>
      </c>
      <c r="B24" s="2" t="s">
        <v>165</v>
      </c>
      <c r="C24" s="2" t="s">
        <v>134</v>
      </c>
      <c r="D24" s="6">
        <v>46045</v>
      </c>
      <c r="E24" s="7">
        <v>10842490</v>
      </c>
      <c r="F24" s="2" t="s">
        <v>21</v>
      </c>
    </row>
    <row r="25" spans="1:6" x14ac:dyDescent="0.25">
      <c r="A25" s="2" t="s">
        <v>41</v>
      </c>
      <c r="B25" s="2" t="s">
        <v>163</v>
      </c>
      <c r="C25" s="2" t="s">
        <v>129</v>
      </c>
      <c r="D25" s="6">
        <v>46046</v>
      </c>
      <c r="E25" s="7">
        <v>6313790</v>
      </c>
      <c r="F25" s="2" t="s">
        <v>8</v>
      </c>
    </row>
    <row r="26" spans="1:6" x14ac:dyDescent="0.25">
      <c r="A26" s="2" t="s">
        <v>42</v>
      </c>
      <c r="B26" s="2" t="s">
        <v>165</v>
      </c>
      <c r="C26" s="2" t="s">
        <v>135</v>
      </c>
      <c r="D26" s="6">
        <v>46047</v>
      </c>
      <c r="E26" s="7">
        <v>13437723</v>
      </c>
      <c r="F26" s="2" t="s">
        <v>11</v>
      </c>
    </row>
    <row r="27" spans="1:6" x14ac:dyDescent="0.25">
      <c r="A27" s="2" t="s">
        <v>43</v>
      </c>
      <c r="B27" s="2" t="s">
        <v>165</v>
      </c>
      <c r="C27" s="2" t="s">
        <v>130</v>
      </c>
      <c r="D27" s="6">
        <v>46048</v>
      </c>
      <c r="E27" s="7">
        <v>12848637</v>
      </c>
      <c r="F27" s="2" t="s">
        <v>8</v>
      </c>
    </row>
    <row r="28" spans="1:6" x14ac:dyDescent="0.25">
      <c r="A28" s="2" t="s">
        <v>44</v>
      </c>
      <c r="B28" s="2" t="s">
        <v>165</v>
      </c>
      <c r="C28" s="2" t="s">
        <v>135</v>
      </c>
      <c r="D28" s="6">
        <v>46049</v>
      </c>
      <c r="E28" s="7">
        <v>17061870</v>
      </c>
      <c r="F28" s="2" t="s">
        <v>8</v>
      </c>
    </row>
    <row r="29" spans="1:6" x14ac:dyDescent="0.25">
      <c r="A29" s="2" t="s">
        <v>45</v>
      </c>
      <c r="B29" s="2" t="s">
        <v>164</v>
      </c>
      <c r="C29" s="2" t="s">
        <v>131</v>
      </c>
      <c r="D29" s="6">
        <v>46050</v>
      </c>
      <c r="E29" s="7">
        <v>5347581</v>
      </c>
      <c r="F29" s="2" t="s">
        <v>21</v>
      </c>
    </row>
    <row r="30" spans="1:6" x14ac:dyDescent="0.25">
      <c r="A30" s="2" t="s">
        <v>46</v>
      </c>
      <c r="B30" s="2" t="s">
        <v>164</v>
      </c>
      <c r="C30" s="2" t="s">
        <v>132</v>
      </c>
      <c r="D30" s="6">
        <v>46051</v>
      </c>
      <c r="E30" s="7">
        <v>18931570</v>
      </c>
      <c r="F30" s="2" t="s">
        <v>8</v>
      </c>
    </row>
    <row r="31" spans="1:6" x14ac:dyDescent="0.25">
      <c r="A31" s="2" t="s">
        <v>47</v>
      </c>
      <c r="B31" s="2" t="s">
        <v>161</v>
      </c>
      <c r="C31" s="2" t="s">
        <v>18</v>
      </c>
      <c r="D31" s="6">
        <v>46052</v>
      </c>
      <c r="E31" s="7">
        <v>2628388</v>
      </c>
      <c r="F31" s="2" t="s">
        <v>15</v>
      </c>
    </row>
    <row r="32" spans="1:6" x14ac:dyDescent="0.25">
      <c r="A32" s="2" t="s">
        <v>48</v>
      </c>
      <c r="B32" s="2" t="s">
        <v>163</v>
      </c>
      <c r="C32" s="2" t="s">
        <v>129</v>
      </c>
      <c r="D32" s="6">
        <v>46053</v>
      </c>
      <c r="E32" s="7">
        <v>2863046</v>
      </c>
      <c r="F32" s="2" t="s">
        <v>11</v>
      </c>
    </row>
    <row r="33" spans="1:6" x14ac:dyDescent="0.25">
      <c r="A33" s="2" t="s">
        <v>49</v>
      </c>
      <c r="B33" s="2" t="s">
        <v>164</v>
      </c>
      <c r="C33" s="2" t="s">
        <v>23</v>
      </c>
      <c r="D33" s="6">
        <v>46054</v>
      </c>
      <c r="E33" s="7">
        <v>11159014</v>
      </c>
      <c r="F33" s="2" t="s">
        <v>11</v>
      </c>
    </row>
    <row r="34" spans="1:6" x14ac:dyDescent="0.25">
      <c r="A34" s="2" t="s">
        <v>50</v>
      </c>
      <c r="B34" s="2" t="s">
        <v>163</v>
      </c>
      <c r="C34" s="2" t="s">
        <v>135</v>
      </c>
      <c r="D34" s="6">
        <v>46055</v>
      </c>
      <c r="E34" s="7">
        <v>15546051</v>
      </c>
      <c r="F34" s="2" t="s">
        <v>8</v>
      </c>
    </row>
    <row r="35" spans="1:6" x14ac:dyDescent="0.25">
      <c r="A35" s="2" t="s">
        <v>51</v>
      </c>
      <c r="B35" s="2" t="s">
        <v>165</v>
      </c>
      <c r="C35" s="2" t="s">
        <v>128</v>
      </c>
      <c r="D35" s="6">
        <v>46056</v>
      </c>
      <c r="E35" s="7">
        <v>3585357</v>
      </c>
      <c r="F35" s="2" t="s">
        <v>21</v>
      </c>
    </row>
    <row r="36" spans="1:6" x14ac:dyDescent="0.25">
      <c r="A36" s="2" t="s">
        <v>52</v>
      </c>
      <c r="B36" s="2" t="s">
        <v>161</v>
      </c>
      <c r="C36" s="2" t="s">
        <v>127</v>
      </c>
      <c r="D36" s="6">
        <v>46057</v>
      </c>
      <c r="E36" s="7">
        <v>16133681</v>
      </c>
      <c r="F36" s="2" t="s">
        <v>11</v>
      </c>
    </row>
    <row r="37" spans="1:6" x14ac:dyDescent="0.25">
      <c r="A37" s="2" t="s">
        <v>53</v>
      </c>
      <c r="B37" s="2" t="s">
        <v>162</v>
      </c>
      <c r="C37" s="2" t="s">
        <v>128</v>
      </c>
      <c r="D37" s="6">
        <v>46058</v>
      </c>
      <c r="E37" s="7">
        <v>11384121</v>
      </c>
      <c r="F37" s="2" t="s">
        <v>11</v>
      </c>
    </row>
    <row r="38" spans="1:6" x14ac:dyDescent="0.25">
      <c r="A38" s="2" t="s">
        <v>54</v>
      </c>
      <c r="B38" s="2" t="s">
        <v>161</v>
      </c>
      <c r="C38" s="2" t="s">
        <v>128</v>
      </c>
      <c r="D38" s="6">
        <v>46059</v>
      </c>
      <c r="E38" s="7">
        <v>1665689</v>
      </c>
      <c r="F38" s="2" t="s">
        <v>11</v>
      </c>
    </row>
    <row r="39" spans="1:6" x14ac:dyDescent="0.25">
      <c r="A39" s="2" t="s">
        <v>55</v>
      </c>
      <c r="B39" s="2" t="s">
        <v>164</v>
      </c>
      <c r="C39" s="2" t="s">
        <v>23</v>
      </c>
      <c r="D39" s="6">
        <v>46060</v>
      </c>
      <c r="E39" s="7">
        <v>17045364</v>
      </c>
      <c r="F39" s="2" t="s">
        <v>21</v>
      </c>
    </row>
    <row r="40" spans="1:6" x14ac:dyDescent="0.25">
      <c r="A40" s="2" t="s">
        <v>56</v>
      </c>
      <c r="B40" s="2" t="s">
        <v>165</v>
      </c>
      <c r="C40" s="2" t="s">
        <v>135</v>
      </c>
      <c r="D40" s="6">
        <v>46061</v>
      </c>
      <c r="E40" s="7">
        <v>18802881</v>
      </c>
      <c r="F40" s="2" t="s">
        <v>8</v>
      </c>
    </row>
    <row r="41" spans="1:6" x14ac:dyDescent="0.25">
      <c r="A41" s="2" t="s">
        <v>57</v>
      </c>
      <c r="B41" s="2" t="s">
        <v>163</v>
      </c>
      <c r="C41" s="2" t="s">
        <v>134</v>
      </c>
      <c r="D41" s="6">
        <v>46062</v>
      </c>
      <c r="E41" s="7">
        <v>19722899</v>
      </c>
      <c r="F41" s="2" t="s">
        <v>21</v>
      </c>
    </row>
    <row r="42" spans="1:6" x14ac:dyDescent="0.25">
      <c r="A42" s="2" t="s">
        <v>58</v>
      </c>
      <c r="B42" s="2" t="s">
        <v>165</v>
      </c>
      <c r="C42" s="2" t="s">
        <v>23</v>
      </c>
      <c r="D42" s="6">
        <v>46063</v>
      </c>
      <c r="E42" s="7">
        <v>11592366</v>
      </c>
      <c r="F42" s="2" t="s">
        <v>8</v>
      </c>
    </row>
    <row r="43" spans="1:6" x14ac:dyDescent="0.25">
      <c r="A43" s="2" t="s">
        <v>59</v>
      </c>
      <c r="B43" s="2" t="s">
        <v>164</v>
      </c>
      <c r="C43" s="2" t="s">
        <v>23</v>
      </c>
      <c r="D43" s="6">
        <v>46064</v>
      </c>
      <c r="E43" s="7">
        <v>15558907</v>
      </c>
      <c r="F43" s="2" t="s">
        <v>11</v>
      </c>
    </row>
    <row r="44" spans="1:6" x14ac:dyDescent="0.25">
      <c r="A44" s="2" t="s">
        <v>60</v>
      </c>
      <c r="B44" s="2" t="s">
        <v>163</v>
      </c>
      <c r="C44" s="2" t="s">
        <v>23</v>
      </c>
      <c r="D44" s="6">
        <v>46065</v>
      </c>
      <c r="E44" s="7">
        <v>2869995</v>
      </c>
      <c r="F44" s="2" t="s">
        <v>15</v>
      </c>
    </row>
    <row r="45" spans="1:6" x14ac:dyDescent="0.25">
      <c r="A45" s="2" t="s">
        <v>61</v>
      </c>
      <c r="B45" s="2" t="s">
        <v>163</v>
      </c>
      <c r="C45" s="2" t="s">
        <v>127</v>
      </c>
      <c r="D45" s="6">
        <v>46066</v>
      </c>
      <c r="E45" s="7">
        <v>13039420</v>
      </c>
      <c r="F45" s="2" t="s">
        <v>11</v>
      </c>
    </row>
    <row r="46" spans="1:6" x14ac:dyDescent="0.25">
      <c r="A46" s="2" t="s">
        <v>62</v>
      </c>
      <c r="B46" s="2" t="s">
        <v>162</v>
      </c>
      <c r="C46" s="2" t="s">
        <v>132</v>
      </c>
      <c r="D46" s="6">
        <v>46067</v>
      </c>
      <c r="E46" s="7">
        <v>13679854</v>
      </c>
      <c r="F46" s="2" t="s">
        <v>21</v>
      </c>
    </row>
    <row r="47" spans="1:6" x14ac:dyDescent="0.25">
      <c r="A47" s="2" t="s">
        <v>63</v>
      </c>
      <c r="B47" s="2" t="s">
        <v>164</v>
      </c>
      <c r="C47" s="2" t="s">
        <v>132</v>
      </c>
      <c r="D47" s="6">
        <v>46068</v>
      </c>
      <c r="E47" s="7">
        <v>6597986</v>
      </c>
      <c r="F47" s="2" t="s">
        <v>15</v>
      </c>
    </row>
    <row r="48" spans="1:6" x14ac:dyDescent="0.25">
      <c r="A48" s="2" t="s">
        <v>64</v>
      </c>
      <c r="B48" s="2" t="s">
        <v>163</v>
      </c>
      <c r="C48" s="2" t="s">
        <v>129</v>
      </c>
      <c r="D48" s="6">
        <v>46069</v>
      </c>
      <c r="E48" s="7">
        <v>13387277</v>
      </c>
      <c r="F48" s="2" t="s">
        <v>15</v>
      </c>
    </row>
    <row r="49" spans="1:6" x14ac:dyDescent="0.25">
      <c r="A49" s="2" t="s">
        <v>65</v>
      </c>
      <c r="B49" s="2" t="s">
        <v>161</v>
      </c>
      <c r="C49" s="2" t="s">
        <v>133</v>
      </c>
      <c r="D49" s="6">
        <v>46070</v>
      </c>
      <c r="E49" s="7">
        <v>2070928</v>
      </c>
      <c r="F49" s="2" t="s">
        <v>8</v>
      </c>
    </row>
    <row r="50" spans="1:6" x14ac:dyDescent="0.25">
      <c r="A50" s="2" t="s">
        <v>66</v>
      </c>
      <c r="B50" s="2" t="s">
        <v>164</v>
      </c>
      <c r="C50" s="2" t="s">
        <v>134</v>
      </c>
      <c r="D50" s="6">
        <v>46071</v>
      </c>
      <c r="E50" s="7">
        <v>4355299</v>
      </c>
      <c r="F50" s="2" t="s">
        <v>8</v>
      </c>
    </row>
    <row r="51" spans="1:6" x14ac:dyDescent="0.25">
      <c r="A51" s="2" t="s">
        <v>67</v>
      </c>
      <c r="B51" s="2" t="s">
        <v>164</v>
      </c>
      <c r="C51" s="2" t="s">
        <v>133</v>
      </c>
      <c r="D51" s="6">
        <v>46072</v>
      </c>
      <c r="E51" s="7">
        <v>11146097</v>
      </c>
      <c r="F51" s="2" t="s">
        <v>11</v>
      </c>
    </row>
    <row r="52" spans="1:6" x14ac:dyDescent="0.25">
      <c r="A52" s="2" t="s">
        <v>68</v>
      </c>
      <c r="B52" s="2" t="s">
        <v>161</v>
      </c>
      <c r="C52" s="2" t="s">
        <v>131</v>
      </c>
      <c r="D52" s="6">
        <v>46073</v>
      </c>
      <c r="E52" s="7">
        <v>14291261</v>
      </c>
      <c r="F52" s="2" t="s">
        <v>15</v>
      </c>
    </row>
    <row r="53" spans="1:6" x14ac:dyDescent="0.25">
      <c r="A53" s="2" t="s">
        <v>53</v>
      </c>
      <c r="B53" s="2" t="s">
        <v>162</v>
      </c>
      <c r="C53" s="2" t="s">
        <v>129</v>
      </c>
      <c r="D53" s="6">
        <v>46074</v>
      </c>
      <c r="E53" s="7">
        <v>19282629</v>
      </c>
      <c r="F53" s="2" t="s">
        <v>11</v>
      </c>
    </row>
    <row r="54" spans="1:6" x14ac:dyDescent="0.25">
      <c r="A54" s="2" t="s">
        <v>38</v>
      </c>
      <c r="B54" s="2" t="s">
        <v>163</v>
      </c>
      <c r="C54" s="2" t="s">
        <v>128</v>
      </c>
      <c r="D54" s="6">
        <v>46075</v>
      </c>
      <c r="E54" s="7">
        <v>471836</v>
      </c>
      <c r="F54" s="2" t="s">
        <v>21</v>
      </c>
    </row>
    <row r="55" spans="1:6" x14ac:dyDescent="0.25">
      <c r="A55" s="2" t="s">
        <v>69</v>
      </c>
      <c r="B55" s="2" t="s">
        <v>163</v>
      </c>
      <c r="C55" s="2" t="s">
        <v>23</v>
      </c>
      <c r="D55" s="6">
        <v>46076</v>
      </c>
      <c r="E55" s="7">
        <v>3784702</v>
      </c>
      <c r="F55" s="2" t="s">
        <v>15</v>
      </c>
    </row>
    <row r="56" spans="1:6" x14ac:dyDescent="0.25">
      <c r="A56" s="2" t="s">
        <v>70</v>
      </c>
      <c r="B56" s="2" t="s">
        <v>163</v>
      </c>
      <c r="C56" s="2" t="s">
        <v>128</v>
      </c>
      <c r="D56" s="6">
        <v>46077</v>
      </c>
      <c r="E56" s="7">
        <v>7481369</v>
      </c>
      <c r="F56" s="2" t="s">
        <v>21</v>
      </c>
    </row>
    <row r="57" spans="1:6" x14ac:dyDescent="0.25">
      <c r="A57" s="2" t="s">
        <v>71</v>
      </c>
      <c r="B57" s="2" t="s">
        <v>161</v>
      </c>
      <c r="C57" s="2" t="s">
        <v>133</v>
      </c>
      <c r="D57" s="6">
        <v>46078</v>
      </c>
      <c r="E57" s="7">
        <v>19276651</v>
      </c>
      <c r="F57" s="2" t="s">
        <v>8</v>
      </c>
    </row>
    <row r="58" spans="1:6" x14ac:dyDescent="0.25">
      <c r="A58" s="2" t="s">
        <v>72</v>
      </c>
      <c r="B58" s="2" t="s">
        <v>161</v>
      </c>
      <c r="C58" s="2" t="s">
        <v>133</v>
      </c>
      <c r="D58" s="6">
        <v>46079</v>
      </c>
      <c r="E58" s="7">
        <v>8785377</v>
      </c>
      <c r="F58" s="2" t="s">
        <v>8</v>
      </c>
    </row>
    <row r="59" spans="1:6" x14ac:dyDescent="0.25">
      <c r="A59" s="2" t="s">
        <v>73</v>
      </c>
      <c r="B59" s="2" t="s">
        <v>165</v>
      </c>
      <c r="C59" s="2" t="s">
        <v>135</v>
      </c>
      <c r="D59" s="6">
        <v>46080</v>
      </c>
      <c r="E59" s="7">
        <v>19635721</v>
      </c>
      <c r="F59" s="2" t="s">
        <v>21</v>
      </c>
    </row>
    <row r="60" spans="1:6" x14ac:dyDescent="0.25">
      <c r="A60" s="2" t="s">
        <v>74</v>
      </c>
      <c r="B60" s="2" t="s">
        <v>162</v>
      </c>
      <c r="C60" s="2" t="s">
        <v>134</v>
      </c>
      <c r="D60" s="6">
        <v>46081</v>
      </c>
      <c r="E60" s="7">
        <v>18248957</v>
      </c>
      <c r="F60" s="2" t="s">
        <v>15</v>
      </c>
    </row>
    <row r="61" spans="1:6" x14ac:dyDescent="0.25">
      <c r="A61" s="2" t="s">
        <v>75</v>
      </c>
      <c r="B61" s="2" t="s">
        <v>165</v>
      </c>
      <c r="C61" s="2" t="s">
        <v>128</v>
      </c>
      <c r="D61" s="6">
        <v>46082</v>
      </c>
      <c r="E61" s="7">
        <v>18024013</v>
      </c>
      <c r="F61" s="2" t="s">
        <v>21</v>
      </c>
    </row>
    <row r="62" spans="1:6" x14ac:dyDescent="0.25">
      <c r="A62" s="2" t="s">
        <v>76</v>
      </c>
      <c r="B62" s="2" t="s">
        <v>163</v>
      </c>
      <c r="C62" s="2" t="s">
        <v>130</v>
      </c>
      <c r="D62" s="6">
        <v>46083</v>
      </c>
      <c r="E62" s="7">
        <v>3247262</v>
      </c>
      <c r="F62" s="2" t="s">
        <v>15</v>
      </c>
    </row>
    <row r="63" spans="1:6" x14ac:dyDescent="0.25">
      <c r="A63" s="2" t="s">
        <v>77</v>
      </c>
      <c r="B63" s="2" t="s">
        <v>164</v>
      </c>
      <c r="C63" s="2" t="s">
        <v>132</v>
      </c>
      <c r="D63" s="6">
        <v>46084</v>
      </c>
      <c r="E63" s="7">
        <v>11173639</v>
      </c>
      <c r="F63" s="2" t="s">
        <v>21</v>
      </c>
    </row>
    <row r="64" spans="1:6" x14ac:dyDescent="0.25">
      <c r="A64" s="2" t="s">
        <v>78</v>
      </c>
      <c r="B64" s="2" t="s">
        <v>162</v>
      </c>
      <c r="C64" s="2" t="s">
        <v>129</v>
      </c>
      <c r="D64" s="6">
        <v>46085</v>
      </c>
      <c r="E64" s="7">
        <v>764685</v>
      </c>
      <c r="F64" s="2" t="s">
        <v>21</v>
      </c>
    </row>
    <row r="65" spans="1:6" x14ac:dyDescent="0.25">
      <c r="A65" s="2" t="s">
        <v>79</v>
      </c>
      <c r="B65" s="2" t="s">
        <v>163</v>
      </c>
      <c r="C65" s="2" t="s">
        <v>134</v>
      </c>
      <c r="D65" s="6">
        <v>46086</v>
      </c>
      <c r="E65" s="7">
        <v>3079190</v>
      </c>
      <c r="F65" s="2" t="s">
        <v>11</v>
      </c>
    </row>
    <row r="66" spans="1:6" x14ac:dyDescent="0.25">
      <c r="A66" s="2" t="s">
        <v>69</v>
      </c>
      <c r="B66" s="2" t="s">
        <v>161</v>
      </c>
      <c r="C66" s="2" t="s">
        <v>18</v>
      </c>
      <c r="D66" s="6">
        <v>46087</v>
      </c>
      <c r="E66" s="7">
        <v>1207293</v>
      </c>
      <c r="F66" s="2" t="s">
        <v>15</v>
      </c>
    </row>
    <row r="67" spans="1:6" x14ac:dyDescent="0.25">
      <c r="A67" s="2" t="s">
        <v>80</v>
      </c>
      <c r="B67" s="2" t="s">
        <v>164</v>
      </c>
      <c r="C67" s="2" t="s">
        <v>18</v>
      </c>
      <c r="D67" s="6">
        <v>46088</v>
      </c>
      <c r="E67" s="7">
        <v>3566612</v>
      </c>
      <c r="F67" s="2" t="s">
        <v>21</v>
      </c>
    </row>
    <row r="68" spans="1:6" x14ac:dyDescent="0.25">
      <c r="A68" s="2" t="s">
        <v>81</v>
      </c>
      <c r="B68" s="2" t="s">
        <v>161</v>
      </c>
      <c r="C68" s="2" t="s">
        <v>130</v>
      </c>
      <c r="D68" s="6">
        <v>46089</v>
      </c>
      <c r="E68" s="7">
        <v>2904238</v>
      </c>
      <c r="F68" s="2" t="s">
        <v>11</v>
      </c>
    </row>
    <row r="69" spans="1:6" x14ac:dyDescent="0.25">
      <c r="A69" s="2" t="s">
        <v>82</v>
      </c>
      <c r="B69" s="2" t="s">
        <v>161</v>
      </c>
      <c r="C69" s="2" t="s">
        <v>134</v>
      </c>
      <c r="D69" s="6">
        <v>46090</v>
      </c>
      <c r="E69" s="7">
        <v>2830708</v>
      </c>
      <c r="F69" s="2" t="s">
        <v>15</v>
      </c>
    </row>
    <row r="70" spans="1:6" x14ac:dyDescent="0.25">
      <c r="A70" s="2" t="s">
        <v>83</v>
      </c>
      <c r="B70" s="2" t="s">
        <v>162</v>
      </c>
      <c r="C70" s="2" t="s">
        <v>129</v>
      </c>
      <c r="D70" s="6">
        <v>46091</v>
      </c>
      <c r="E70" s="7">
        <v>3694679</v>
      </c>
      <c r="F70" s="2" t="s">
        <v>8</v>
      </c>
    </row>
    <row r="71" spans="1:6" x14ac:dyDescent="0.25">
      <c r="A71" s="2" t="s">
        <v>84</v>
      </c>
      <c r="B71" s="2" t="s">
        <v>163</v>
      </c>
      <c r="C71" s="2" t="s">
        <v>134</v>
      </c>
      <c r="D71" s="6">
        <v>46092</v>
      </c>
      <c r="E71" s="7">
        <v>18744856</v>
      </c>
      <c r="F71" s="2" t="s">
        <v>21</v>
      </c>
    </row>
    <row r="72" spans="1:6" x14ac:dyDescent="0.25">
      <c r="A72" s="2" t="s">
        <v>30</v>
      </c>
      <c r="B72" s="2" t="s">
        <v>165</v>
      </c>
      <c r="C72" s="2" t="s">
        <v>135</v>
      </c>
      <c r="D72" s="6">
        <v>46093</v>
      </c>
      <c r="E72" s="7">
        <v>15806139</v>
      </c>
      <c r="F72" s="2" t="s">
        <v>15</v>
      </c>
    </row>
    <row r="73" spans="1:6" x14ac:dyDescent="0.25">
      <c r="A73" s="2" t="s">
        <v>85</v>
      </c>
      <c r="B73" s="2" t="s">
        <v>165</v>
      </c>
      <c r="C73" s="2" t="s">
        <v>129</v>
      </c>
      <c r="D73" s="6">
        <v>46094</v>
      </c>
      <c r="E73" s="7">
        <v>11202348</v>
      </c>
      <c r="F73" s="2" t="s">
        <v>15</v>
      </c>
    </row>
    <row r="74" spans="1:6" x14ac:dyDescent="0.25">
      <c r="A74" s="2" t="s">
        <v>86</v>
      </c>
      <c r="B74" s="2" t="s">
        <v>164</v>
      </c>
      <c r="C74" s="2" t="s">
        <v>23</v>
      </c>
      <c r="D74" s="6">
        <v>46095</v>
      </c>
      <c r="E74" s="7">
        <v>1485160</v>
      </c>
      <c r="F74" s="2" t="s">
        <v>15</v>
      </c>
    </row>
    <row r="75" spans="1:6" x14ac:dyDescent="0.25">
      <c r="A75" s="2" t="s">
        <v>87</v>
      </c>
      <c r="B75" s="2" t="s">
        <v>164</v>
      </c>
      <c r="C75" s="2" t="s">
        <v>128</v>
      </c>
      <c r="D75" s="6">
        <v>46096</v>
      </c>
      <c r="E75" s="7">
        <v>5373036</v>
      </c>
      <c r="F75" s="2" t="s">
        <v>15</v>
      </c>
    </row>
    <row r="76" spans="1:6" x14ac:dyDescent="0.25">
      <c r="A76" s="2" t="s">
        <v>88</v>
      </c>
      <c r="B76" s="2" t="s">
        <v>165</v>
      </c>
      <c r="C76" s="2" t="s">
        <v>135</v>
      </c>
      <c r="D76" s="6">
        <v>46097</v>
      </c>
      <c r="E76" s="7">
        <v>18402688</v>
      </c>
      <c r="F76" s="2" t="s">
        <v>8</v>
      </c>
    </row>
    <row r="77" spans="1:6" x14ac:dyDescent="0.25">
      <c r="A77" s="2" t="s">
        <v>89</v>
      </c>
      <c r="B77" s="2" t="s">
        <v>165</v>
      </c>
      <c r="C77" s="2" t="s">
        <v>18</v>
      </c>
      <c r="D77" s="6">
        <v>46098</v>
      </c>
      <c r="E77" s="7">
        <v>248984</v>
      </c>
      <c r="F77" s="2" t="s">
        <v>15</v>
      </c>
    </row>
    <row r="78" spans="1:6" x14ac:dyDescent="0.25">
      <c r="A78" s="2" t="s">
        <v>90</v>
      </c>
      <c r="B78" s="2" t="s">
        <v>161</v>
      </c>
      <c r="C78" s="2" t="s">
        <v>129</v>
      </c>
      <c r="D78" s="6">
        <v>46099</v>
      </c>
      <c r="E78" s="7">
        <v>10988678</v>
      </c>
      <c r="F78" s="2" t="s">
        <v>15</v>
      </c>
    </row>
    <row r="79" spans="1:6" x14ac:dyDescent="0.25">
      <c r="A79" s="2" t="s">
        <v>91</v>
      </c>
      <c r="B79" s="2" t="s">
        <v>161</v>
      </c>
      <c r="C79" s="2" t="s">
        <v>131</v>
      </c>
      <c r="D79" s="6">
        <v>46100</v>
      </c>
      <c r="E79" s="7">
        <v>6756168</v>
      </c>
      <c r="F79" s="2" t="s">
        <v>11</v>
      </c>
    </row>
    <row r="80" spans="1:6" x14ac:dyDescent="0.25">
      <c r="A80" s="2" t="s">
        <v>92</v>
      </c>
      <c r="B80" s="2" t="s">
        <v>161</v>
      </c>
      <c r="C80" s="2" t="s">
        <v>18</v>
      </c>
      <c r="D80" s="6">
        <v>46101</v>
      </c>
      <c r="E80" s="7">
        <v>18481600</v>
      </c>
      <c r="F80" s="2" t="s">
        <v>11</v>
      </c>
    </row>
    <row r="81" spans="1:6" x14ac:dyDescent="0.25">
      <c r="A81" s="2" t="s">
        <v>93</v>
      </c>
      <c r="B81" s="2" t="s">
        <v>162</v>
      </c>
      <c r="C81" s="2" t="s">
        <v>129</v>
      </c>
      <c r="D81" s="6">
        <v>46102</v>
      </c>
      <c r="E81" s="7">
        <v>14816555</v>
      </c>
      <c r="F81" s="2" t="s">
        <v>11</v>
      </c>
    </row>
    <row r="82" spans="1:6" x14ac:dyDescent="0.25">
      <c r="A82" s="2" t="s">
        <v>94</v>
      </c>
      <c r="B82" s="2" t="s">
        <v>163</v>
      </c>
      <c r="C82" s="2" t="s">
        <v>130</v>
      </c>
      <c r="D82" s="6">
        <v>46103</v>
      </c>
      <c r="E82" s="7">
        <v>19208135</v>
      </c>
      <c r="F82" s="2" t="s">
        <v>21</v>
      </c>
    </row>
    <row r="83" spans="1:6" x14ac:dyDescent="0.25">
      <c r="A83" s="2" t="s">
        <v>95</v>
      </c>
      <c r="B83" s="2" t="s">
        <v>163</v>
      </c>
      <c r="C83" s="2" t="s">
        <v>127</v>
      </c>
      <c r="D83" s="6">
        <v>46104</v>
      </c>
      <c r="E83" s="7">
        <v>12919242</v>
      </c>
      <c r="F83" s="2" t="s">
        <v>8</v>
      </c>
    </row>
    <row r="84" spans="1:6" x14ac:dyDescent="0.25">
      <c r="A84" s="2" t="s">
        <v>96</v>
      </c>
      <c r="B84" s="2" t="s">
        <v>163</v>
      </c>
      <c r="C84" s="2" t="s">
        <v>128</v>
      </c>
      <c r="D84" s="6">
        <v>46105</v>
      </c>
      <c r="E84" s="7">
        <v>15360818</v>
      </c>
      <c r="F84" s="2" t="s">
        <v>8</v>
      </c>
    </row>
    <row r="85" spans="1:6" x14ac:dyDescent="0.25">
      <c r="A85" s="2" t="s">
        <v>97</v>
      </c>
      <c r="B85" s="2" t="s">
        <v>162</v>
      </c>
      <c r="C85" s="2" t="s">
        <v>131</v>
      </c>
      <c r="D85" s="6">
        <v>46106</v>
      </c>
      <c r="E85" s="7">
        <v>16230288</v>
      </c>
      <c r="F85" s="2" t="s">
        <v>8</v>
      </c>
    </row>
    <row r="86" spans="1:6" x14ac:dyDescent="0.25">
      <c r="A86" s="2" t="s">
        <v>98</v>
      </c>
      <c r="B86" s="2" t="s">
        <v>161</v>
      </c>
      <c r="C86" s="2" t="s">
        <v>131</v>
      </c>
      <c r="D86" s="6">
        <v>46107</v>
      </c>
      <c r="E86" s="7">
        <v>1937095</v>
      </c>
      <c r="F86" s="2" t="s">
        <v>15</v>
      </c>
    </row>
    <row r="87" spans="1:6" x14ac:dyDescent="0.25">
      <c r="A87" s="2" t="s">
        <v>99</v>
      </c>
      <c r="B87" s="2" t="s">
        <v>163</v>
      </c>
      <c r="C87" s="2" t="s">
        <v>18</v>
      </c>
      <c r="D87" s="6">
        <v>46108</v>
      </c>
      <c r="E87" s="7">
        <v>10699746</v>
      </c>
      <c r="F87" s="2" t="s">
        <v>15</v>
      </c>
    </row>
    <row r="88" spans="1:6" x14ac:dyDescent="0.25">
      <c r="A88" s="2" t="s">
        <v>100</v>
      </c>
      <c r="B88" s="2" t="s">
        <v>165</v>
      </c>
      <c r="C88" s="2" t="s">
        <v>134</v>
      </c>
      <c r="D88" s="6">
        <v>46109</v>
      </c>
      <c r="E88" s="7">
        <v>4980450</v>
      </c>
      <c r="F88" s="2" t="s">
        <v>8</v>
      </c>
    </row>
    <row r="89" spans="1:6" x14ac:dyDescent="0.25">
      <c r="A89" s="2" t="s">
        <v>101</v>
      </c>
      <c r="B89" s="2" t="s">
        <v>162</v>
      </c>
      <c r="C89" s="2" t="s">
        <v>132</v>
      </c>
      <c r="D89" s="6">
        <v>46110</v>
      </c>
      <c r="E89" s="7">
        <v>19087034</v>
      </c>
      <c r="F89" s="2" t="s">
        <v>21</v>
      </c>
    </row>
    <row r="90" spans="1:6" x14ac:dyDescent="0.25">
      <c r="A90" s="2" t="s">
        <v>102</v>
      </c>
      <c r="B90" s="2" t="s">
        <v>163</v>
      </c>
      <c r="C90" s="2" t="s">
        <v>128</v>
      </c>
      <c r="D90" s="6">
        <v>46111</v>
      </c>
      <c r="E90" s="7">
        <v>16229444</v>
      </c>
      <c r="F90" s="2" t="s">
        <v>15</v>
      </c>
    </row>
    <row r="91" spans="1:6" x14ac:dyDescent="0.25">
      <c r="A91" s="2" t="s">
        <v>103</v>
      </c>
      <c r="B91" s="2" t="s">
        <v>165</v>
      </c>
      <c r="C91" s="2" t="s">
        <v>127</v>
      </c>
      <c r="D91" s="6">
        <v>46112</v>
      </c>
      <c r="E91" s="7">
        <v>19209001</v>
      </c>
      <c r="F91" s="2" t="s">
        <v>8</v>
      </c>
    </row>
    <row r="92" spans="1:6" x14ac:dyDescent="0.25">
      <c r="A92" s="2" t="s">
        <v>104</v>
      </c>
      <c r="B92" s="2" t="s">
        <v>164</v>
      </c>
      <c r="C92" s="2" t="s">
        <v>134</v>
      </c>
      <c r="D92" s="6">
        <v>46113</v>
      </c>
      <c r="E92" s="7">
        <v>11536697</v>
      </c>
      <c r="F92" s="2" t="s">
        <v>8</v>
      </c>
    </row>
    <row r="93" spans="1:6" x14ac:dyDescent="0.25">
      <c r="A93" s="2" t="s">
        <v>105</v>
      </c>
      <c r="B93" s="2" t="s">
        <v>165</v>
      </c>
      <c r="C93" s="2" t="s">
        <v>132</v>
      </c>
      <c r="D93" s="6">
        <v>46114</v>
      </c>
      <c r="E93" s="7">
        <v>4053339</v>
      </c>
      <c r="F93" s="2" t="s">
        <v>8</v>
      </c>
    </row>
    <row r="94" spans="1:6" x14ac:dyDescent="0.25">
      <c r="A94" s="2" t="s">
        <v>106</v>
      </c>
      <c r="B94" s="2" t="s">
        <v>162</v>
      </c>
      <c r="C94" s="2" t="s">
        <v>129</v>
      </c>
      <c r="D94" s="6">
        <v>46115</v>
      </c>
      <c r="E94" s="7">
        <v>16213446</v>
      </c>
      <c r="F94" s="2" t="s">
        <v>8</v>
      </c>
    </row>
    <row r="95" spans="1:6" x14ac:dyDescent="0.25">
      <c r="A95" s="2" t="s">
        <v>107</v>
      </c>
      <c r="B95" s="2" t="s">
        <v>163</v>
      </c>
      <c r="C95" s="2" t="s">
        <v>127</v>
      </c>
      <c r="D95" s="6">
        <v>46116</v>
      </c>
      <c r="E95" s="7">
        <v>17973323</v>
      </c>
      <c r="F95" s="2" t="s">
        <v>21</v>
      </c>
    </row>
    <row r="96" spans="1:6" x14ac:dyDescent="0.25">
      <c r="A96" s="2" t="s">
        <v>108</v>
      </c>
      <c r="B96" s="2" t="s">
        <v>163</v>
      </c>
      <c r="C96" s="2" t="s">
        <v>18</v>
      </c>
      <c r="D96" s="6">
        <v>46117</v>
      </c>
      <c r="E96" s="7">
        <v>12110049</v>
      </c>
      <c r="F96" s="2" t="s">
        <v>21</v>
      </c>
    </row>
    <row r="97" spans="1:6" x14ac:dyDescent="0.25">
      <c r="A97" s="2" t="s">
        <v>109</v>
      </c>
      <c r="B97" s="2" t="s">
        <v>164</v>
      </c>
      <c r="C97" s="2" t="s">
        <v>132</v>
      </c>
      <c r="D97" s="6">
        <v>46118</v>
      </c>
      <c r="E97" s="7">
        <v>7330144</v>
      </c>
      <c r="F97" s="2" t="s">
        <v>8</v>
      </c>
    </row>
    <row r="98" spans="1:6" x14ac:dyDescent="0.25">
      <c r="A98" s="2" t="s">
        <v>110</v>
      </c>
      <c r="B98" s="2" t="s">
        <v>164</v>
      </c>
      <c r="C98" s="2" t="s">
        <v>131</v>
      </c>
      <c r="D98" s="6">
        <v>46119</v>
      </c>
      <c r="E98" s="7">
        <v>4745583</v>
      </c>
      <c r="F98" s="2" t="s">
        <v>21</v>
      </c>
    </row>
    <row r="99" spans="1:6" x14ac:dyDescent="0.25">
      <c r="A99" s="2" t="s">
        <v>111</v>
      </c>
      <c r="B99" s="2" t="s">
        <v>162</v>
      </c>
      <c r="C99" s="2" t="s">
        <v>131</v>
      </c>
      <c r="D99" s="6">
        <v>46120</v>
      </c>
      <c r="E99" s="7">
        <v>15793974</v>
      </c>
      <c r="F99" s="2" t="s">
        <v>8</v>
      </c>
    </row>
    <row r="100" spans="1:6" x14ac:dyDescent="0.25">
      <c r="A100" s="2" t="s">
        <v>112</v>
      </c>
      <c r="B100" s="2" t="s">
        <v>162</v>
      </c>
      <c r="C100" s="2" t="s">
        <v>129</v>
      </c>
      <c r="D100" s="6">
        <v>46121</v>
      </c>
      <c r="E100" s="7">
        <v>8188004</v>
      </c>
      <c r="F100" s="2" t="s">
        <v>15</v>
      </c>
    </row>
    <row r="101" spans="1:6" x14ac:dyDescent="0.25">
      <c r="A101" s="2" t="s">
        <v>113</v>
      </c>
      <c r="B101" s="2" t="s">
        <v>163</v>
      </c>
      <c r="C101" s="2" t="s">
        <v>18</v>
      </c>
      <c r="D101" s="6">
        <v>46122</v>
      </c>
      <c r="E101" s="7">
        <v>13272482</v>
      </c>
      <c r="F101" s="2" t="s">
        <v>8</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61F1-617D-4E57-B7F7-18FE5D3A7D8B}">
  <dimension ref="A1:I101"/>
  <sheetViews>
    <sheetView zoomScale="85" zoomScaleNormal="85" workbookViewId="0">
      <selection activeCell="X13" sqref="X13"/>
    </sheetView>
  </sheetViews>
  <sheetFormatPr defaultRowHeight="15" x14ac:dyDescent="0.25"/>
  <cols>
    <col min="1" max="1" width="11" customWidth="1"/>
    <col min="2" max="2" width="17.875" customWidth="1"/>
    <col min="3" max="3" width="15.5" customWidth="1"/>
    <col min="4" max="4" width="20" customWidth="1"/>
    <col min="5" max="5" width="18.75" customWidth="1"/>
    <col min="6" max="6" width="18.375" customWidth="1"/>
    <col min="7" max="7" width="13.75" customWidth="1"/>
    <col min="8" max="8" width="14.75" customWidth="1"/>
    <col min="9" max="9" width="9.25" customWidth="1"/>
  </cols>
  <sheetData>
    <row r="1" spans="1:9" x14ac:dyDescent="0.25">
      <c r="A1" s="9" t="s">
        <v>0</v>
      </c>
      <c r="B1" s="10" t="s">
        <v>1</v>
      </c>
      <c r="C1" s="11" t="s">
        <v>2</v>
      </c>
      <c r="D1" s="11" t="s">
        <v>119</v>
      </c>
      <c r="E1" s="11" t="s">
        <v>182</v>
      </c>
      <c r="F1" s="11" t="s">
        <v>3</v>
      </c>
      <c r="G1" s="11" t="s">
        <v>4</v>
      </c>
      <c r="H1" s="11" t="s">
        <v>5</v>
      </c>
      <c r="I1" s="8" t="s">
        <v>176</v>
      </c>
    </row>
    <row r="2" spans="1:9" x14ac:dyDescent="0.25">
      <c r="A2" s="12" t="s">
        <v>6</v>
      </c>
      <c r="B2" s="13" t="s">
        <v>161</v>
      </c>
      <c r="C2" s="13" t="s">
        <v>127</v>
      </c>
      <c r="D2" s="13" t="str">
        <f>VLOOKUP(C2,RefProd!$A$2:$C$12,2,0)</f>
        <v>Monitor 27 inch</v>
      </c>
      <c r="E2" s="13" t="str">
        <f>VLOOKUP(C2,RefProd!$A$2:$C$12,3,0)</f>
        <v>Monitor</v>
      </c>
      <c r="F2" s="14">
        <v>46023</v>
      </c>
      <c r="G2" s="15">
        <v>11628388.222222222</v>
      </c>
      <c r="H2" s="13" t="s">
        <v>8</v>
      </c>
      <c r="I2" s="16" t="str">
        <f>VLOOKUP(H2,RefRegion!$A$2:$B$5,2,0)</f>
        <v>Medan</v>
      </c>
    </row>
    <row r="3" spans="1:9" x14ac:dyDescent="0.25">
      <c r="A3" s="12" t="s">
        <v>9</v>
      </c>
      <c r="B3" s="13" t="s">
        <v>162</v>
      </c>
      <c r="C3" s="13" t="s">
        <v>128</v>
      </c>
      <c r="D3" s="13" t="str">
        <f>VLOOKUP(C3,RefProd!$A$2:$C$12,2,0)</f>
        <v>Keyboard Wireless</v>
      </c>
      <c r="E3" s="13" t="str">
        <f>VLOOKUP(C3,RefProd!$A$2:$C$12,3,0)</f>
        <v>Keyboard</v>
      </c>
      <c r="F3" s="14">
        <v>46024</v>
      </c>
      <c r="G3" s="15">
        <v>9409891.1500000004</v>
      </c>
      <c r="H3" s="13" t="s">
        <v>11</v>
      </c>
      <c r="I3" s="16" t="str">
        <f>VLOOKUP(H3,RefRegion!$A$2:$B$5,2,0)</f>
        <v>Surabaya</v>
      </c>
    </row>
    <row r="4" spans="1:9" x14ac:dyDescent="0.25">
      <c r="A4" s="12" t="s">
        <v>12</v>
      </c>
      <c r="B4" s="13" t="s">
        <v>163</v>
      </c>
      <c r="C4" s="13" t="s">
        <v>129</v>
      </c>
      <c r="D4" s="13" t="str">
        <f>VLOOKUP(C4,RefProd!$A$2:$C$12,2,0)</f>
        <v>Laptop RTY</v>
      </c>
      <c r="E4" s="13" t="str">
        <f>VLOOKUP(C4,RefProd!$A$2:$C$12,3,0)</f>
        <v>Laptop</v>
      </c>
      <c r="F4" s="14">
        <v>46025</v>
      </c>
      <c r="G4" s="15">
        <v>9409891.1500000004</v>
      </c>
      <c r="H4" s="13" t="s">
        <v>11</v>
      </c>
      <c r="I4" s="16" t="str">
        <f>VLOOKUP(H4,RefRegion!$A$2:$B$5,2,0)</f>
        <v>Surabaya</v>
      </c>
    </row>
    <row r="5" spans="1:9" x14ac:dyDescent="0.25">
      <c r="A5" s="12" t="s">
        <v>14</v>
      </c>
      <c r="B5" s="13" t="s">
        <v>161</v>
      </c>
      <c r="C5" s="13" t="s">
        <v>128</v>
      </c>
      <c r="D5" s="13" t="str">
        <f>VLOOKUP(C5,RefProd!$A$2:$C$12,2,0)</f>
        <v>Keyboard Wireless</v>
      </c>
      <c r="E5" s="13" t="str">
        <f>VLOOKUP(C5,RefProd!$A$2:$C$12,3,0)</f>
        <v>Keyboard</v>
      </c>
      <c r="F5" s="14">
        <v>46026</v>
      </c>
      <c r="G5" s="15">
        <v>8111595.8399999999</v>
      </c>
      <c r="H5" s="13" t="s">
        <v>15</v>
      </c>
      <c r="I5" s="16" t="str">
        <f>VLOOKUP(H5,RefRegion!$A$2:$B$5,2,0)</f>
        <v>Jakarta</v>
      </c>
    </row>
    <row r="6" spans="1:9" x14ac:dyDescent="0.25">
      <c r="A6" s="12" t="s">
        <v>16</v>
      </c>
      <c r="B6" s="13" t="s">
        <v>164</v>
      </c>
      <c r="C6" s="13" t="s">
        <v>130</v>
      </c>
      <c r="D6" s="13" t="str">
        <f>VLOOKUP(C6,RefProd!$A$2:$C$12,2,0)</f>
        <v>Laptop QWE</v>
      </c>
      <c r="E6" s="13" t="str">
        <f>VLOOKUP(C6,RefProd!$A$2:$C$12,3,0)</f>
        <v>Laptop</v>
      </c>
      <c r="F6" s="14">
        <v>46027</v>
      </c>
      <c r="G6" s="15">
        <v>8111595.8399999999</v>
      </c>
      <c r="H6" s="13" t="s">
        <v>15</v>
      </c>
      <c r="I6" s="16" t="str">
        <f>VLOOKUP(H6,RefRegion!$A$2:$B$5,2,0)</f>
        <v>Jakarta</v>
      </c>
    </row>
    <row r="7" spans="1:9" x14ac:dyDescent="0.25">
      <c r="A7" s="12" t="s">
        <v>19</v>
      </c>
      <c r="B7" s="13" t="s">
        <v>163</v>
      </c>
      <c r="C7" s="13" t="s">
        <v>129</v>
      </c>
      <c r="D7" s="13" t="str">
        <f>VLOOKUP(C7,RefProd!$A$2:$C$12,2,0)</f>
        <v>Laptop RTY</v>
      </c>
      <c r="E7" s="13" t="str">
        <f>VLOOKUP(C7,RefProd!$A$2:$C$12,3,0)</f>
        <v>Laptop</v>
      </c>
      <c r="F7" s="14">
        <v>46028</v>
      </c>
      <c r="G7" s="15">
        <v>11628388.222222222</v>
      </c>
      <c r="H7" s="13" t="s">
        <v>8</v>
      </c>
      <c r="I7" s="16" t="str">
        <f>VLOOKUP(H7,RefRegion!$A$2:$B$5,2,0)</f>
        <v>Medan</v>
      </c>
    </row>
    <row r="8" spans="1:9" x14ac:dyDescent="0.25">
      <c r="A8" s="12" t="s">
        <v>20</v>
      </c>
      <c r="B8" s="13" t="s">
        <v>161</v>
      </c>
      <c r="C8" s="13" t="s">
        <v>131</v>
      </c>
      <c r="D8" s="13" t="str">
        <f>VLOOKUP(C8,RefProd!$A$2:$C$12,2,0)</f>
        <v>Keyboard Mechanical</v>
      </c>
      <c r="E8" s="13" t="str">
        <f>VLOOKUP(C8,RefProd!$A$2:$C$12,3,0)</f>
        <v>Keyboard</v>
      </c>
      <c r="F8" s="14">
        <v>46029</v>
      </c>
      <c r="G8" s="15">
        <v>7604852</v>
      </c>
      <c r="H8" s="13" t="s">
        <v>21</v>
      </c>
      <c r="I8" s="16" t="str">
        <f>VLOOKUP(H8,RefRegion!$A$2:$B$5,2,0)</f>
        <v>Makassar</v>
      </c>
    </row>
    <row r="9" spans="1:9" x14ac:dyDescent="0.25">
      <c r="A9" s="12" t="s">
        <v>22</v>
      </c>
      <c r="B9" s="13" t="s">
        <v>163</v>
      </c>
      <c r="C9" s="13" t="s">
        <v>129</v>
      </c>
      <c r="D9" s="13" t="str">
        <f>VLOOKUP(C9,RefProd!$A$2:$C$12,2,0)</f>
        <v>Laptop RTY</v>
      </c>
      <c r="E9" s="13" t="str">
        <f>VLOOKUP(C9,RefProd!$A$2:$C$12,3,0)</f>
        <v>Laptop</v>
      </c>
      <c r="F9" s="14">
        <v>46030</v>
      </c>
      <c r="G9" s="15">
        <v>5181505</v>
      </c>
      <c r="H9" s="13" t="s">
        <v>15</v>
      </c>
      <c r="I9" s="16" t="str">
        <f>VLOOKUP(H9,RefRegion!$A$2:$B$5,2,0)</f>
        <v>Jakarta</v>
      </c>
    </row>
    <row r="10" spans="1:9" x14ac:dyDescent="0.25">
      <c r="A10" s="12" t="s">
        <v>24</v>
      </c>
      <c r="B10" s="13" t="s">
        <v>163</v>
      </c>
      <c r="C10" s="13" t="s">
        <v>130</v>
      </c>
      <c r="D10" s="13" t="str">
        <f>VLOOKUP(C10,RefProd!$A$2:$C$12,2,0)</f>
        <v>Laptop QWE</v>
      </c>
      <c r="E10" s="13" t="str">
        <f>VLOOKUP(C10,RefProd!$A$2:$C$12,3,0)</f>
        <v>Laptop</v>
      </c>
      <c r="F10" s="14">
        <v>46031</v>
      </c>
      <c r="G10" s="15">
        <v>14153367</v>
      </c>
      <c r="H10" s="13" t="s">
        <v>21</v>
      </c>
      <c r="I10" s="16" t="str">
        <f>VLOOKUP(H10,RefRegion!$A$2:$B$5,2,0)</f>
        <v>Makassar</v>
      </c>
    </row>
    <row r="11" spans="1:9" x14ac:dyDescent="0.25">
      <c r="A11" s="12" t="s">
        <v>25</v>
      </c>
      <c r="B11" s="13" t="s">
        <v>162</v>
      </c>
      <c r="C11" s="13" t="s">
        <v>18</v>
      </c>
      <c r="D11" s="13" t="str">
        <f>VLOOKUP(C11,RefProd!$A$2:$C$12,2,0)</f>
        <v>Laptop XYZ</v>
      </c>
      <c r="E11" s="13" t="str">
        <f>VLOOKUP(C11,RefProd!$A$2:$C$12,3,0)</f>
        <v>Laptop</v>
      </c>
      <c r="F11" s="14">
        <v>46032</v>
      </c>
      <c r="G11" s="15">
        <v>18744107</v>
      </c>
      <c r="H11" s="13" t="s">
        <v>15</v>
      </c>
      <c r="I11" s="16" t="str">
        <f>VLOOKUP(H11,RefRegion!$A$2:$B$5,2,0)</f>
        <v>Jakarta</v>
      </c>
    </row>
    <row r="12" spans="1:9" x14ac:dyDescent="0.25">
      <c r="A12" s="12" t="s">
        <v>26</v>
      </c>
      <c r="B12" s="13" t="s">
        <v>156</v>
      </c>
      <c r="C12" s="13" t="s">
        <v>129</v>
      </c>
      <c r="D12" s="13" t="str">
        <f>VLOOKUP(C12,RefProd!$A$2:$C$12,2,0)</f>
        <v>Laptop RTY</v>
      </c>
      <c r="E12" s="13" t="str">
        <f>VLOOKUP(C12,RefProd!$A$2:$C$12,3,0)</f>
        <v>Laptop</v>
      </c>
      <c r="F12" s="14">
        <v>46033</v>
      </c>
      <c r="G12" s="15">
        <v>4721373</v>
      </c>
      <c r="H12" s="13" t="s">
        <v>11</v>
      </c>
      <c r="I12" s="16" t="str">
        <f>VLOOKUP(H12,RefRegion!$A$2:$B$5,2,0)</f>
        <v>Surabaya</v>
      </c>
    </row>
    <row r="13" spans="1:9" x14ac:dyDescent="0.25">
      <c r="A13" s="12" t="s">
        <v>28</v>
      </c>
      <c r="B13" s="13" t="s">
        <v>161</v>
      </c>
      <c r="C13" s="13" t="s">
        <v>131</v>
      </c>
      <c r="D13" s="13" t="str">
        <f>VLOOKUP(C13,RefProd!$A$2:$C$12,2,0)</f>
        <v>Keyboard Mechanical</v>
      </c>
      <c r="E13" s="13" t="str">
        <f>VLOOKUP(C13,RefProd!$A$2:$C$12,3,0)</f>
        <v>Keyboard</v>
      </c>
      <c r="F13" s="14">
        <v>46034</v>
      </c>
      <c r="G13" s="15">
        <v>6219877</v>
      </c>
      <c r="H13" s="13" t="s">
        <v>11</v>
      </c>
      <c r="I13" s="16" t="str">
        <f>VLOOKUP(H13,RefRegion!$A$2:$B$5,2,0)</f>
        <v>Surabaya</v>
      </c>
    </row>
    <row r="14" spans="1:9" x14ac:dyDescent="0.25">
      <c r="A14" s="12" t="s">
        <v>29</v>
      </c>
      <c r="B14" s="13" t="s">
        <v>162</v>
      </c>
      <c r="C14" s="13" t="s">
        <v>131</v>
      </c>
      <c r="D14" s="13" t="str">
        <f>VLOOKUP(C14,RefProd!$A$2:$C$12,2,0)</f>
        <v>Keyboard Mechanical</v>
      </c>
      <c r="E14" s="13" t="str">
        <f>VLOOKUP(C14,RefProd!$A$2:$C$12,3,0)</f>
        <v>Keyboard</v>
      </c>
      <c r="F14" s="14">
        <v>46035</v>
      </c>
      <c r="G14" s="15">
        <v>3544769</v>
      </c>
      <c r="H14" s="13" t="s">
        <v>8</v>
      </c>
      <c r="I14" s="16" t="str">
        <f>VLOOKUP(H14,RefRegion!$A$2:$B$5,2,0)</f>
        <v>Medan</v>
      </c>
    </row>
    <row r="15" spans="1:9" x14ac:dyDescent="0.25">
      <c r="A15" s="12" t="s">
        <v>30</v>
      </c>
      <c r="B15" s="13" t="s">
        <v>163</v>
      </c>
      <c r="C15" s="13" t="s">
        <v>132</v>
      </c>
      <c r="D15" s="13" t="str">
        <f>VLOOKUP(C15,RefProd!$A$2:$C$12,2,0)</f>
        <v>Printer Laser</v>
      </c>
      <c r="E15" s="13" t="str">
        <f>VLOOKUP(C15,RefProd!$A$2:$C$12,3,0)</f>
        <v>Printer</v>
      </c>
      <c r="F15" s="14">
        <v>46036</v>
      </c>
      <c r="G15" s="15">
        <v>9380351</v>
      </c>
      <c r="H15" s="13" t="s">
        <v>11</v>
      </c>
      <c r="I15" s="16" t="str">
        <f>VLOOKUP(H15,RefRegion!$A$2:$B$5,2,0)</f>
        <v>Surabaya</v>
      </c>
    </row>
    <row r="16" spans="1:9" x14ac:dyDescent="0.25">
      <c r="A16" s="12" t="s">
        <v>31</v>
      </c>
      <c r="B16" s="13" t="s">
        <v>161</v>
      </c>
      <c r="C16" s="13" t="s">
        <v>130</v>
      </c>
      <c r="D16" s="13" t="str">
        <f>VLOOKUP(C16,RefProd!$A$2:$C$12,2,0)</f>
        <v>Laptop QWE</v>
      </c>
      <c r="E16" s="13" t="str">
        <f>VLOOKUP(C16,RefProd!$A$2:$C$12,3,0)</f>
        <v>Laptop</v>
      </c>
      <c r="F16" s="14">
        <v>46037</v>
      </c>
      <c r="G16" s="15">
        <v>303355</v>
      </c>
      <c r="H16" s="13" t="s">
        <v>11</v>
      </c>
      <c r="I16" s="16" t="str">
        <f>VLOOKUP(H16,RefRegion!$A$2:$B$5,2,0)</f>
        <v>Surabaya</v>
      </c>
    </row>
    <row r="17" spans="1:9" x14ac:dyDescent="0.25">
      <c r="A17" s="12" t="s">
        <v>32</v>
      </c>
      <c r="B17" s="13" t="s">
        <v>164</v>
      </c>
      <c r="C17" s="13" t="s">
        <v>133</v>
      </c>
      <c r="D17" s="13" t="str">
        <f>VLOOKUP(C17,RefProd!$A$2:$C$12,2,0)</f>
        <v>Printer Inkjet</v>
      </c>
      <c r="E17" s="13" t="str">
        <f>VLOOKUP(C17,RefProd!$A$2:$C$12,3,0)</f>
        <v>Printer</v>
      </c>
      <c r="F17" s="14">
        <v>46038</v>
      </c>
      <c r="G17" s="15">
        <v>16164436</v>
      </c>
      <c r="H17" s="13" t="s">
        <v>15</v>
      </c>
      <c r="I17" s="16" t="str">
        <f>VLOOKUP(H17,RefRegion!$A$2:$B$5,2,0)</f>
        <v>Jakarta</v>
      </c>
    </row>
    <row r="18" spans="1:9" x14ac:dyDescent="0.25">
      <c r="A18" s="12" t="s">
        <v>33</v>
      </c>
      <c r="B18" s="13" t="s">
        <v>163</v>
      </c>
      <c r="C18" s="13" t="s">
        <v>127</v>
      </c>
      <c r="D18" s="13" t="str">
        <f>VLOOKUP(C18,RefProd!$A$2:$C$12,2,0)</f>
        <v>Monitor 27 inch</v>
      </c>
      <c r="E18" s="13" t="str">
        <f>VLOOKUP(C18,RefProd!$A$2:$C$12,3,0)</f>
        <v>Monitor</v>
      </c>
      <c r="F18" s="14">
        <v>46039</v>
      </c>
      <c r="G18" s="15">
        <v>1462752</v>
      </c>
      <c r="H18" s="13" t="s">
        <v>15</v>
      </c>
      <c r="I18" s="16" t="str">
        <f>VLOOKUP(H18,RefRegion!$A$2:$B$5,2,0)</f>
        <v>Jakarta</v>
      </c>
    </row>
    <row r="19" spans="1:9" x14ac:dyDescent="0.25">
      <c r="A19" s="12" t="s">
        <v>34</v>
      </c>
      <c r="B19" s="13" t="s">
        <v>164</v>
      </c>
      <c r="C19" s="13" t="s">
        <v>134</v>
      </c>
      <c r="D19" s="13" t="str">
        <f>VLOOKUP(C19,RefProd!$A$2:$C$12,2,0)</f>
        <v>Monitor 24 inch</v>
      </c>
      <c r="E19" s="13" t="str">
        <f>VLOOKUP(C19,RefProd!$A$2:$C$12,3,0)</f>
        <v>Monitor</v>
      </c>
      <c r="F19" s="14">
        <v>46040</v>
      </c>
      <c r="G19" s="15">
        <v>9984633</v>
      </c>
      <c r="H19" s="13" t="s">
        <v>15</v>
      </c>
      <c r="I19" s="16" t="str">
        <f>VLOOKUP(H19,RefRegion!$A$2:$B$5,2,0)</f>
        <v>Jakarta</v>
      </c>
    </row>
    <row r="20" spans="1:9" x14ac:dyDescent="0.25">
      <c r="A20" s="12" t="s">
        <v>35</v>
      </c>
      <c r="B20" s="13" t="s">
        <v>165</v>
      </c>
      <c r="C20" s="13" t="s">
        <v>129</v>
      </c>
      <c r="D20" s="13" t="str">
        <f>VLOOKUP(C20,RefProd!$A$2:$C$12,2,0)</f>
        <v>Laptop RTY</v>
      </c>
      <c r="E20" s="13" t="str">
        <f>VLOOKUP(C20,RefProd!$A$2:$C$12,3,0)</f>
        <v>Laptop</v>
      </c>
      <c r="F20" s="14">
        <v>46041</v>
      </c>
      <c r="G20" s="15">
        <v>5864789</v>
      </c>
      <c r="H20" s="13" t="s">
        <v>11</v>
      </c>
      <c r="I20" s="16" t="str">
        <f>VLOOKUP(H20,RefRegion!$A$2:$B$5,2,0)</f>
        <v>Surabaya</v>
      </c>
    </row>
    <row r="21" spans="1:9" x14ac:dyDescent="0.25">
      <c r="A21" s="12" t="s">
        <v>37</v>
      </c>
      <c r="B21" s="13" t="s">
        <v>161</v>
      </c>
      <c r="C21" s="13" t="s">
        <v>130</v>
      </c>
      <c r="D21" s="13" t="str">
        <f>VLOOKUP(C21,RefProd!$A$2:$C$12,2,0)</f>
        <v>Laptop QWE</v>
      </c>
      <c r="E21" s="13" t="str">
        <f>VLOOKUP(C21,RefProd!$A$2:$C$12,3,0)</f>
        <v>Laptop</v>
      </c>
      <c r="F21" s="14">
        <v>46042</v>
      </c>
      <c r="G21" s="15">
        <v>9895979</v>
      </c>
      <c r="H21" s="13" t="s">
        <v>8</v>
      </c>
      <c r="I21" s="16" t="str">
        <f>VLOOKUP(H21,RefRegion!$A$2:$B$5,2,0)</f>
        <v>Medan</v>
      </c>
    </row>
    <row r="22" spans="1:9" x14ac:dyDescent="0.25">
      <c r="A22" s="12" t="s">
        <v>38</v>
      </c>
      <c r="B22" s="13" t="s">
        <v>163</v>
      </c>
      <c r="C22" s="13" t="s">
        <v>134</v>
      </c>
      <c r="D22" s="13" t="str">
        <f>VLOOKUP(C22,RefProd!$A$2:$C$12,2,0)</f>
        <v>Monitor 24 inch</v>
      </c>
      <c r="E22" s="13" t="str">
        <f>VLOOKUP(C22,RefProd!$A$2:$C$12,3,0)</f>
        <v>Monitor</v>
      </c>
      <c r="F22" s="14">
        <v>46043</v>
      </c>
      <c r="G22" s="15">
        <v>9505648</v>
      </c>
      <c r="H22" s="13" t="s">
        <v>21</v>
      </c>
      <c r="I22" s="16" t="str">
        <f>VLOOKUP(H22,RefRegion!$A$2:$B$5,2,0)</f>
        <v>Makassar</v>
      </c>
    </row>
    <row r="23" spans="1:9" x14ac:dyDescent="0.25">
      <c r="A23" s="12" t="s">
        <v>39</v>
      </c>
      <c r="B23" s="13" t="s">
        <v>164</v>
      </c>
      <c r="C23" s="13" t="s">
        <v>18</v>
      </c>
      <c r="D23" s="13" t="str">
        <f>VLOOKUP(C23,RefProd!$A$2:$C$12,2,0)</f>
        <v>Laptop XYZ</v>
      </c>
      <c r="E23" s="13" t="str">
        <f>VLOOKUP(C23,RefProd!$A$2:$C$12,3,0)</f>
        <v>Laptop</v>
      </c>
      <c r="F23" s="14">
        <v>46044</v>
      </c>
      <c r="G23" s="15">
        <v>5943066</v>
      </c>
      <c r="H23" s="13" t="s">
        <v>8</v>
      </c>
      <c r="I23" s="16" t="str">
        <f>VLOOKUP(H23,RefRegion!$A$2:$B$5,2,0)</f>
        <v>Medan</v>
      </c>
    </row>
    <row r="24" spans="1:9" x14ac:dyDescent="0.25">
      <c r="A24" s="12" t="s">
        <v>40</v>
      </c>
      <c r="B24" s="13" t="s">
        <v>165</v>
      </c>
      <c r="C24" s="13" t="s">
        <v>134</v>
      </c>
      <c r="D24" s="13" t="str">
        <f>VLOOKUP(C24,RefProd!$A$2:$C$12,2,0)</f>
        <v>Monitor 24 inch</v>
      </c>
      <c r="E24" s="13" t="str">
        <f>VLOOKUP(C24,RefProd!$A$2:$C$12,3,0)</f>
        <v>Monitor</v>
      </c>
      <c r="F24" s="14">
        <v>46045</v>
      </c>
      <c r="G24" s="15">
        <v>10842490</v>
      </c>
      <c r="H24" s="13" t="s">
        <v>21</v>
      </c>
      <c r="I24" s="16" t="str">
        <f>VLOOKUP(H24,RefRegion!$A$2:$B$5,2,0)</f>
        <v>Makassar</v>
      </c>
    </row>
    <row r="25" spans="1:9" x14ac:dyDescent="0.25">
      <c r="A25" s="12" t="s">
        <v>41</v>
      </c>
      <c r="B25" s="13" t="s">
        <v>163</v>
      </c>
      <c r="C25" s="13" t="s">
        <v>129</v>
      </c>
      <c r="D25" s="13" t="str">
        <f>VLOOKUP(C25,RefProd!$A$2:$C$12,2,0)</f>
        <v>Laptop RTY</v>
      </c>
      <c r="E25" s="13" t="str">
        <f>VLOOKUP(C25,RefProd!$A$2:$C$12,3,0)</f>
        <v>Laptop</v>
      </c>
      <c r="F25" s="14">
        <v>46046</v>
      </c>
      <c r="G25" s="15">
        <v>6313790</v>
      </c>
      <c r="H25" s="13" t="s">
        <v>8</v>
      </c>
      <c r="I25" s="16" t="str">
        <f>VLOOKUP(H25,RefRegion!$A$2:$B$5,2,0)</f>
        <v>Medan</v>
      </c>
    </row>
    <row r="26" spans="1:9" x14ac:dyDescent="0.25">
      <c r="A26" s="12" t="s">
        <v>42</v>
      </c>
      <c r="B26" s="13" t="s">
        <v>165</v>
      </c>
      <c r="C26" s="13" t="s">
        <v>135</v>
      </c>
      <c r="D26" s="13" t="str">
        <f>VLOOKUP(C26,RefProd!$A$2:$C$12,2,0)</f>
        <v>Mouse Optik A</v>
      </c>
      <c r="E26" s="13" t="str">
        <f>VLOOKUP(C26,RefProd!$A$2:$C$12,3,0)</f>
        <v>Mouse</v>
      </c>
      <c r="F26" s="14">
        <v>46047</v>
      </c>
      <c r="G26" s="15">
        <v>13437723</v>
      </c>
      <c r="H26" s="13" t="s">
        <v>11</v>
      </c>
      <c r="I26" s="16" t="str">
        <f>VLOOKUP(H26,RefRegion!$A$2:$B$5,2,0)</f>
        <v>Surabaya</v>
      </c>
    </row>
    <row r="27" spans="1:9" x14ac:dyDescent="0.25">
      <c r="A27" s="12" t="s">
        <v>43</v>
      </c>
      <c r="B27" s="13" t="s">
        <v>165</v>
      </c>
      <c r="C27" s="13" t="s">
        <v>130</v>
      </c>
      <c r="D27" s="13" t="str">
        <f>VLOOKUP(C27,RefProd!$A$2:$C$12,2,0)</f>
        <v>Laptop QWE</v>
      </c>
      <c r="E27" s="13" t="str">
        <f>VLOOKUP(C27,RefProd!$A$2:$C$12,3,0)</f>
        <v>Laptop</v>
      </c>
      <c r="F27" s="14">
        <v>46048</v>
      </c>
      <c r="G27" s="15">
        <v>12848637</v>
      </c>
      <c r="H27" s="13" t="s">
        <v>8</v>
      </c>
      <c r="I27" s="16" t="str">
        <f>VLOOKUP(H27,RefRegion!$A$2:$B$5,2,0)</f>
        <v>Medan</v>
      </c>
    </row>
    <row r="28" spans="1:9" x14ac:dyDescent="0.25">
      <c r="A28" s="12" t="s">
        <v>44</v>
      </c>
      <c r="B28" s="13" t="s">
        <v>165</v>
      </c>
      <c r="C28" s="13" t="s">
        <v>135</v>
      </c>
      <c r="D28" s="13" t="str">
        <f>VLOOKUP(C28,RefProd!$A$2:$C$12,2,0)</f>
        <v>Mouse Optik A</v>
      </c>
      <c r="E28" s="13" t="str">
        <f>VLOOKUP(C28,RefProd!$A$2:$C$12,3,0)</f>
        <v>Mouse</v>
      </c>
      <c r="F28" s="14">
        <v>46049</v>
      </c>
      <c r="G28" s="15">
        <v>17061870</v>
      </c>
      <c r="H28" s="13" t="s">
        <v>8</v>
      </c>
      <c r="I28" s="16" t="str">
        <f>VLOOKUP(H28,RefRegion!$A$2:$B$5,2,0)</f>
        <v>Medan</v>
      </c>
    </row>
    <row r="29" spans="1:9" x14ac:dyDescent="0.25">
      <c r="A29" s="12" t="s">
        <v>45</v>
      </c>
      <c r="B29" s="13" t="s">
        <v>164</v>
      </c>
      <c r="C29" s="13" t="s">
        <v>131</v>
      </c>
      <c r="D29" s="13" t="str">
        <f>VLOOKUP(C29,RefProd!$A$2:$C$12,2,0)</f>
        <v>Keyboard Mechanical</v>
      </c>
      <c r="E29" s="13" t="str">
        <f>VLOOKUP(C29,RefProd!$A$2:$C$12,3,0)</f>
        <v>Keyboard</v>
      </c>
      <c r="F29" s="14">
        <v>46050</v>
      </c>
      <c r="G29" s="15">
        <v>5347581</v>
      </c>
      <c r="H29" s="13" t="s">
        <v>21</v>
      </c>
      <c r="I29" s="16" t="str">
        <f>VLOOKUP(H29,RefRegion!$A$2:$B$5,2,0)</f>
        <v>Makassar</v>
      </c>
    </row>
    <row r="30" spans="1:9" x14ac:dyDescent="0.25">
      <c r="A30" s="12" t="s">
        <v>46</v>
      </c>
      <c r="B30" s="13" t="s">
        <v>164</v>
      </c>
      <c r="C30" s="13" t="s">
        <v>132</v>
      </c>
      <c r="D30" s="13" t="str">
        <f>VLOOKUP(C30,RefProd!$A$2:$C$12,2,0)</f>
        <v>Printer Laser</v>
      </c>
      <c r="E30" s="13" t="str">
        <f>VLOOKUP(C30,RefProd!$A$2:$C$12,3,0)</f>
        <v>Printer</v>
      </c>
      <c r="F30" s="14">
        <v>46051</v>
      </c>
      <c r="G30" s="15">
        <v>18931570</v>
      </c>
      <c r="H30" s="13" t="s">
        <v>8</v>
      </c>
      <c r="I30" s="16" t="str">
        <f>VLOOKUP(H30,RefRegion!$A$2:$B$5,2,0)</f>
        <v>Medan</v>
      </c>
    </row>
    <row r="31" spans="1:9" x14ac:dyDescent="0.25">
      <c r="A31" s="12" t="s">
        <v>47</v>
      </c>
      <c r="B31" s="13" t="s">
        <v>161</v>
      </c>
      <c r="C31" s="13" t="s">
        <v>18</v>
      </c>
      <c r="D31" s="13" t="str">
        <f>VLOOKUP(C31,RefProd!$A$2:$C$12,2,0)</f>
        <v>Laptop XYZ</v>
      </c>
      <c r="E31" s="13" t="str">
        <f>VLOOKUP(C31,RefProd!$A$2:$C$12,3,0)</f>
        <v>Laptop</v>
      </c>
      <c r="F31" s="14">
        <v>46052</v>
      </c>
      <c r="G31" s="15">
        <v>2628388</v>
      </c>
      <c r="H31" s="13" t="s">
        <v>15</v>
      </c>
      <c r="I31" s="16" t="str">
        <f>VLOOKUP(H31,RefRegion!$A$2:$B$5,2,0)</f>
        <v>Jakarta</v>
      </c>
    </row>
    <row r="32" spans="1:9" x14ac:dyDescent="0.25">
      <c r="A32" s="12" t="s">
        <v>48</v>
      </c>
      <c r="B32" s="13" t="s">
        <v>163</v>
      </c>
      <c r="C32" s="13" t="s">
        <v>129</v>
      </c>
      <c r="D32" s="13" t="str">
        <f>VLOOKUP(C32,RefProd!$A$2:$C$12,2,0)</f>
        <v>Laptop RTY</v>
      </c>
      <c r="E32" s="13" t="str">
        <f>VLOOKUP(C32,RefProd!$A$2:$C$12,3,0)</f>
        <v>Laptop</v>
      </c>
      <c r="F32" s="14">
        <v>46053</v>
      </c>
      <c r="G32" s="15">
        <v>2863046</v>
      </c>
      <c r="H32" s="13" t="s">
        <v>11</v>
      </c>
      <c r="I32" s="16" t="str">
        <f>VLOOKUP(H32,RefRegion!$A$2:$B$5,2,0)</f>
        <v>Surabaya</v>
      </c>
    </row>
    <row r="33" spans="1:9" x14ac:dyDescent="0.25">
      <c r="A33" s="12" t="s">
        <v>49</v>
      </c>
      <c r="B33" s="13" t="s">
        <v>164</v>
      </c>
      <c r="C33" s="13" t="s">
        <v>23</v>
      </c>
      <c r="D33" s="13" t="str">
        <f>VLOOKUP(C33,RefProd!$A$2:$C$12,2,0)</f>
        <v>Mouse Gaming B</v>
      </c>
      <c r="E33" s="13" t="str">
        <f>VLOOKUP(C33,RefProd!$A$2:$C$12,3,0)</f>
        <v>Mouse</v>
      </c>
      <c r="F33" s="14">
        <v>46054</v>
      </c>
      <c r="G33" s="15">
        <v>11159014</v>
      </c>
      <c r="H33" s="13" t="s">
        <v>11</v>
      </c>
      <c r="I33" s="16" t="str">
        <f>VLOOKUP(H33,RefRegion!$A$2:$B$5,2,0)</f>
        <v>Surabaya</v>
      </c>
    </row>
    <row r="34" spans="1:9" x14ac:dyDescent="0.25">
      <c r="A34" s="12" t="s">
        <v>50</v>
      </c>
      <c r="B34" s="13" t="s">
        <v>163</v>
      </c>
      <c r="C34" s="13" t="s">
        <v>135</v>
      </c>
      <c r="D34" s="13" t="str">
        <f>VLOOKUP(C34,RefProd!$A$2:$C$12,2,0)</f>
        <v>Mouse Optik A</v>
      </c>
      <c r="E34" s="13" t="str">
        <f>VLOOKUP(C34,RefProd!$A$2:$C$12,3,0)</f>
        <v>Mouse</v>
      </c>
      <c r="F34" s="14">
        <v>46055</v>
      </c>
      <c r="G34" s="15">
        <v>15546051</v>
      </c>
      <c r="H34" s="13" t="s">
        <v>8</v>
      </c>
      <c r="I34" s="16" t="str">
        <f>VLOOKUP(H34,RefRegion!$A$2:$B$5,2,0)</f>
        <v>Medan</v>
      </c>
    </row>
    <row r="35" spans="1:9" x14ac:dyDescent="0.25">
      <c r="A35" s="12" t="s">
        <v>51</v>
      </c>
      <c r="B35" s="13" t="s">
        <v>165</v>
      </c>
      <c r="C35" s="13" t="s">
        <v>128</v>
      </c>
      <c r="D35" s="13" t="str">
        <f>VLOOKUP(C35,RefProd!$A$2:$C$12,2,0)</f>
        <v>Keyboard Wireless</v>
      </c>
      <c r="E35" s="13" t="str">
        <f>VLOOKUP(C35,RefProd!$A$2:$C$12,3,0)</f>
        <v>Keyboard</v>
      </c>
      <c r="F35" s="14">
        <v>46056</v>
      </c>
      <c r="G35" s="15">
        <v>3585357</v>
      </c>
      <c r="H35" s="13" t="s">
        <v>21</v>
      </c>
      <c r="I35" s="16" t="str">
        <f>VLOOKUP(H35,RefRegion!$A$2:$B$5,2,0)</f>
        <v>Makassar</v>
      </c>
    </row>
    <row r="36" spans="1:9" x14ac:dyDescent="0.25">
      <c r="A36" s="12" t="s">
        <v>52</v>
      </c>
      <c r="B36" s="13" t="s">
        <v>161</v>
      </c>
      <c r="C36" s="13" t="s">
        <v>127</v>
      </c>
      <c r="D36" s="13" t="str">
        <f>VLOOKUP(C36,RefProd!$A$2:$C$12,2,0)</f>
        <v>Monitor 27 inch</v>
      </c>
      <c r="E36" s="13" t="str">
        <f>VLOOKUP(C36,RefProd!$A$2:$C$12,3,0)</f>
        <v>Monitor</v>
      </c>
      <c r="F36" s="14">
        <v>46057</v>
      </c>
      <c r="G36" s="15">
        <v>16133681</v>
      </c>
      <c r="H36" s="13" t="s">
        <v>11</v>
      </c>
      <c r="I36" s="16" t="str">
        <f>VLOOKUP(H36,RefRegion!$A$2:$B$5,2,0)</f>
        <v>Surabaya</v>
      </c>
    </row>
    <row r="37" spans="1:9" x14ac:dyDescent="0.25">
      <c r="A37" s="12" t="s">
        <v>53</v>
      </c>
      <c r="B37" s="13" t="s">
        <v>162</v>
      </c>
      <c r="C37" s="13" t="s">
        <v>128</v>
      </c>
      <c r="D37" s="13" t="str">
        <f>VLOOKUP(C37,RefProd!$A$2:$C$12,2,0)</f>
        <v>Keyboard Wireless</v>
      </c>
      <c r="E37" s="13" t="str">
        <f>VLOOKUP(C37,RefProd!$A$2:$C$12,3,0)</f>
        <v>Keyboard</v>
      </c>
      <c r="F37" s="14">
        <v>46058</v>
      </c>
      <c r="G37" s="15">
        <v>11384121</v>
      </c>
      <c r="H37" s="13" t="s">
        <v>11</v>
      </c>
      <c r="I37" s="16" t="str">
        <f>VLOOKUP(H37,RefRegion!$A$2:$B$5,2,0)</f>
        <v>Surabaya</v>
      </c>
    </row>
    <row r="38" spans="1:9" x14ac:dyDescent="0.25">
      <c r="A38" s="12" t="s">
        <v>54</v>
      </c>
      <c r="B38" s="13" t="s">
        <v>161</v>
      </c>
      <c r="C38" s="13" t="s">
        <v>128</v>
      </c>
      <c r="D38" s="13" t="str">
        <f>VLOOKUP(C38,RefProd!$A$2:$C$12,2,0)</f>
        <v>Keyboard Wireless</v>
      </c>
      <c r="E38" s="13" t="str">
        <f>VLOOKUP(C38,RefProd!$A$2:$C$12,3,0)</f>
        <v>Keyboard</v>
      </c>
      <c r="F38" s="14">
        <v>46059</v>
      </c>
      <c r="G38" s="15">
        <v>1665689</v>
      </c>
      <c r="H38" s="13" t="s">
        <v>11</v>
      </c>
      <c r="I38" s="16" t="str">
        <f>VLOOKUP(H38,RefRegion!$A$2:$B$5,2,0)</f>
        <v>Surabaya</v>
      </c>
    </row>
    <row r="39" spans="1:9" x14ac:dyDescent="0.25">
      <c r="A39" s="12" t="s">
        <v>55</v>
      </c>
      <c r="B39" s="13" t="s">
        <v>164</v>
      </c>
      <c r="C39" s="13" t="s">
        <v>23</v>
      </c>
      <c r="D39" s="13" t="str">
        <f>VLOOKUP(C39,RefProd!$A$2:$C$12,2,0)</f>
        <v>Mouse Gaming B</v>
      </c>
      <c r="E39" s="13" t="str">
        <f>VLOOKUP(C39,RefProd!$A$2:$C$12,3,0)</f>
        <v>Mouse</v>
      </c>
      <c r="F39" s="14">
        <v>46060</v>
      </c>
      <c r="G39" s="15">
        <v>17045364</v>
      </c>
      <c r="H39" s="13" t="s">
        <v>21</v>
      </c>
      <c r="I39" s="16" t="str">
        <f>VLOOKUP(H39,RefRegion!$A$2:$B$5,2,0)</f>
        <v>Makassar</v>
      </c>
    </row>
    <row r="40" spans="1:9" x14ac:dyDescent="0.25">
      <c r="A40" s="12" t="s">
        <v>56</v>
      </c>
      <c r="B40" s="13" t="s">
        <v>165</v>
      </c>
      <c r="C40" s="13" t="s">
        <v>135</v>
      </c>
      <c r="D40" s="13" t="str">
        <f>VLOOKUP(C40,RefProd!$A$2:$C$12,2,0)</f>
        <v>Mouse Optik A</v>
      </c>
      <c r="E40" s="13" t="str">
        <f>VLOOKUP(C40,RefProd!$A$2:$C$12,3,0)</f>
        <v>Mouse</v>
      </c>
      <c r="F40" s="14">
        <v>46061</v>
      </c>
      <c r="G40" s="15">
        <v>18802881</v>
      </c>
      <c r="H40" s="13" t="s">
        <v>8</v>
      </c>
      <c r="I40" s="16" t="str">
        <f>VLOOKUP(H40,RefRegion!$A$2:$B$5,2,0)</f>
        <v>Medan</v>
      </c>
    </row>
    <row r="41" spans="1:9" x14ac:dyDescent="0.25">
      <c r="A41" s="12" t="s">
        <v>57</v>
      </c>
      <c r="B41" s="13" t="s">
        <v>163</v>
      </c>
      <c r="C41" s="13" t="s">
        <v>134</v>
      </c>
      <c r="D41" s="13" t="str">
        <f>VLOOKUP(C41,RefProd!$A$2:$C$12,2,0)</f>
        <v>Monitor 24 inch</v>
      </c>
      <c r="E41" s="13" t="str">
        <f>VLOOKUP(C41,RefProd!$A$2:$C$12,3,0)</f>
        <v>Monitor</v>
      </c>
      <c r="F41" s="14">
        <v>46062</v>
      </c>
      <c r="G41" s="15">
        <v>19722899</v>
      </c>
      <c r="H41" s="13" t="s">
        <v>21</v>
      </c>
      <c r="I41" s="16" t="str">
        <f>VLOOKUP(H41,RefRegion!$A$2:$B$5,2,0)</f>
        <v>Makassar</v>
      </c>
    </row>
    <row r="42" spans="1:9" x14ac:dyDescent="0.25">
      <c r="A42" s="12" t="s">
        <v>58</v>
      </c>
      <c r="B42" s="13" t="s">
        <v>165</v>
      </c>
      <c r="C42" s="13" t="s">
        <v>23</v>
      </c>
      <c r="D42" s="13" t="str">
        <f>VLOOKUP(C42,RefProd!$A$2:$C$12,2,0)</f>
        <v>Mouse Gaming B</v>
      </c>
      <c r="E42" s="13" t="str">
        <f>VLOOKUP(C42,RefProd!$A$2:$C$12,3,0)</f>
        <v>Mouse</v>
      </c>
      <c r="F42" s="14">
        <v>46063</v>
      </c>
      <c r="G42" s="15">
        <v>11592366</v>
      </c>
      <c r="H42" s="13" t="s">
        <v>8</v>
      </c>
      <c r="I42" s="16" t="str">
        <f>VLOOKUP(H42,RefRegion!$A$2:$B$5,2,0)</f>
        <v>Medan</v>
      </c>
    </row>
    <row r="43" spans="1:9" x14ac:dyDescent="0.25">
      <c r="A43" s="12" t="s">
        <v>59</v>
      </c>
      <c r="B43" s="13" t="s">
        <v>164</v>
      </c>
      <c r="C43" s="13" t="s">
        <v>23</v>
      </c>
      <c r="D43" s="13" t="str">
        <f>VLOOKUP(C43,RefProd!$A$2:$C$12,2,0)</f>
        <v>Mouse Gaming B</v>
      </c>
      <c r="E43" s="13" t="str">
        <f>VLOOKUP(C43,RefProd!$A$2:$C$12,3,0)</f>
        <v>Mouse</v>
      </c>
      <c r="F43" s="14">
        <v>46064</v>
      </c>
      <c r="G43" s="15">
        <v>15558907</v>
      </c>
      <c r="H43" s="13" t="s">
        <v>11</v>
      </c>
      <c r="I43" s="16" t="str">
        <f>VLOOKUP(H43,RefRegion!$A$2:$B$5,2,0)</f>
        <v>Surabaya</v>
      </c>
    </row>
    <row r="44" spans="1:9" x14ac:dyDescent="0.25">
      <c r="A44" s="12" t="s">
        <v>60</v>
      </c>
      <c r="B44" s="13" t="s">
        <v>163</v>
      </c>
      <c r="C44" s="13" t="s">
        <v>23</v>
      </c>
      <c r="D44" s="13" t="str">
        <f>VLOOKUP(C44,RefProd!$A$2:$C$12,2,0)</f>
        <v>Mouse Gaming B</v>
      </c>
      <c r="E44" s="13" t="str">
        <f>VLOOKUP(C44,RefProd!$A$2:$C$12,3,0)</f>
        <v>Mouse</v>
      </c>
      <c r="F44" s="14">
        <v>46065</v>
      </c>
      <c r="G44" s="15">
        <v>2869995</v>
      </c>
      <c r="H44" s="13" t="s">
        <v>15</v>
      </c>
      <c r="I44" s="16" t="str">
        <f>VLOOKUP(H44,RefRegion!$A$2:$B$5,2,0)</f>
        <v>Jakarta</v>
      </c>
    </row>
    <row r="45" spans="1:9" x14ac:dyDescent="0.25">
      <c r="A45" s="12" t="s">
        <v>61</v>
      </c>
      <c r="B45" s="13" t="s">
        <v>163</v>
      </c>
      <c r="C45" s="13" t="s">
        <v>127</v>
      </c>
      <c r="D45" s="13" t="str">
        <f>VLOOKUP(C45,RefProd!$A$2:$C$12,2,0)</f>
        <v>Monitor 27 inch</v>
      </c>
      <c r="E45" s="13" t="str">
        <f>VLOOKUP(C45,RefProd!$A$2:$C$12,3,0)</f>
        <v>Monitor</v>
      </c>
      <c r="F45" s="14">
        <v>46066</v>
      </c>
      <c r="G45" s="15">
        <v>13039420</v>
      </c>
      <c r="H45" s="13" t="s">
        <v>11</v>
      </c>
      <c r="I45" s="16" t="str">
        <f>VLOOKUP(H45,RefRegion!$A$2:$B$5,2,0)</f>
        <v>Surabaya</v>
      </c>
    </row>
    <row r="46" spans="1:9" x14ac:dyDescent="0.25">
      <c r="A46" s="12" t="s">
        <v>62</v>
      </c>
      <c r="B46" s="13" t="s">
        <v>162</v>
      </c>
      <c r="C46" s="13" t="s">
        <v>132</v>
      </c>
      <c r="D46" s="13" t="str">
        <f>VLOOKUP(C46,RefProd!$A$2:$C$12,2,0)</f>
        <v>Printer Laser</v>
      </c>
      <c r="E46" s="13" t="str">
        <f>VLOOKUP(C46,RefProd!$A$2:$C$12,3,0)</f>
        <v>Printer</v>
      </c>
      <c r="F46" s="14">
        <v>46067</v>
      </c>
      <c r="G46" s="15">
        <v>13679854</v>
      </c>
      <c r="H46" s="13" t="s">
        <v>21</v>
      </c>
      <c r="I46" s="16" t="str">
        <f>VLOOKUP(H46,RefRegion!$A$2:$B$5,2,0)</f>
        <v>Makassar</v>
      </c>
    </row>
    <row r="47" spans="1:9" x14ac:dyDescent="0.25">
      <c r="A47" s="12" t="s">
        <v>63</v>
      </c>
      <c r="B47" s="13" t="s">
        <v>164</v>
      </c>
      <c r="C47" s="13" t="s">
        <v>132</v>
      </c>
      <c r="D47" s="13" t="str">
        <f>VLOOKUP(C47,RefProd!$A$2:$C$12,2,0)</f>
        <v>Printer Laser</v>
      </c>
      <c r="E47" s="13" t="str">
        <f>VLOOKUP(C47,RefProd!$A$2:$C$12,3,0)</f>
        <v>Printer</v>
      </c>
      <c r="F47" s="14">
        <v>46068</v>
      </c>
      <c r="G47" s="15">
        <v>6597986</v>
      </c>
      <c r="H47" s="13" t="s">
        <v>15</v>
      </c>
      <c r="I47" s="16" t="str">
        <f>VLOOKUP(H47,RefRegion!$A$2:$B$5,2,0)</f>
        <v>Jakarta</v>
      </c>
    </row>
    <row r="48" spans="1:9" x14ac:dyDescent="0.25">
      <c r="A48" s="12" t="s">
        <v>64</v>
      </c>
      <c r="B48" s="13" t="s">
        <v>163</v>
      </c>
      <c r="C48" s="13" t="s">
        <v>129</v>
      </c>
      <c r="D48" s="13" t="str">
        <f>VLOOKUP(C48,RefProd!$A$2:$C$12,2,0)</f>
        <v>Laptop RTY</v>
      </c>
      <c r="E48" s="13" t="str">
        <f>VLOOKUP(C48,RefProd!$A$2:$C$12,3,0)</f>
        <v>Laptop</v>
      </c>
      <c r="F48" s="14">
        <v>46069</v>
      </c>
      <c r="G48" s="15">
        <v>13387277</v>
      </c>
      <c r="H48" s="13" t="s">
        <v>15</v>
      </c>
      <c r="I48" s="16" t="str">
        <f>VLOOKUP(H48,RefRegion!$A$2:$B$5,2,0)</f>
        <v>Jakarta</v>
      </c>
    </row>
    <row r="49" spans="1:9" x14ac:dyDescent="0.25">
      <c r="A49" s="12" t="s">
        <v>65</v>
      </c>
      <c r="B49" s="13" t="s">
        <v>161</v>
      </c>
      <c r="C49" s="13" t="s">
        <v>133</v>
      </c>
      <c r="D49" s="13" t="str">
        <f>VLOOKUP(C49,RefProd!$A$2:$C$12,2,0)</f>
        <v>Printer Inkjet</v>
      </c>
      <c r="E49" s="13" t="str">
        <f>VLOOKUP(C49,RefProd!$A$2:$C$12,3,0)</f>
        <v>Printer</v>
      </c>
      <c r="F49" s="14">
        <v>46070</v>
      </c>
      <c r="G49" s="15">
        <v>2070928</v>
      </c>
      <c r="H49" s="13" t="s">
        <v>8</v>
      </c>
      <c r="I49" s="16" t="str">
        <f>VLOOKUP(H49,RefRegion!$A$2:$B$5,2,0)</f>
        <v>Medan</v>
      </c>
    </row>
    <row r="50" spans="1:9" x14ac:dyDescent="0.25">
      <c r="A50" s="12" t="s">
        <v>66</v>
      </c>
      <c r="B50" s="13" t="s">
        <v>164</v>
      </c>
      <c r="C50" s="13" t="s">
        <v>134</v>
      </c>
      <c r="D50" s="13" t="str">
        <f>VLOOKUP(C50,RefProd!$A$2:$C$12,2,0)</f>
        <v>Monitor 24 inch</v>
      </c>
      <c r="E50" s="13" t="str">
        <f>VLOOKUP(C50,RefProd!$A$2:$C$12,3,0)</f>
        <v>Monitor</v>
      </c>
      <c r="F50" s="14">
        <v>46071</v>
      </c>
      <c r="G50" s="15">
        <v>4355299</v>
      </c>
      <c r="H50" s="13" t="s">
        <v>8</v>
      </c>
      <c r="I50" s="16" t="str">
        <f>VLOOKUP(H50,RefRegion!$A$2:$B$5,2,0)</f>
        <v>Medan</v>
      </c>
    </row>
    <row r="51" spans="1:9" x14ac:dyDescent="0.25">
      <c r="A51" s="12" t="s">
        <v>67</v>
      </c>
      <c r="B51" s="13" t="s">
        <v>164</v>
      </c>
      <c r="C51" s="13" t="s">
        <v>133</v>
      </c>
      <c r="D51" s="13" t="str">
        <f>VLOOKUP(C51,RefProd!$A$2:$C$12,2,0)</f>
        <v>Printer Inkjet</v>
      </c>
      <c r="E51" s="13" t="str">
        <f>VLOOKUP(C51,RefProd!$A$2:$C$12,3,0)</f>
        <v>Printer</v>
      </c>
      <c r="F51" s="14">
        <v>46072</v>
      </c>
      <c r="G51" s="15">
        <v>11146097</v>
      </c>
      <c r="H51" s="13" t="s">
        <v>11</v>
      </c>
      <c r="I51" s="16" t="str">
        <f>VLOOKUP(H51,RefRegion!$A$2:$B$5,2,0)</f>
        <v>Surabaya</v>
      </c>
    </row>
    <row r="52" spans="1:9" x14ac:dyDescent="0.25">
      <c r="A52" s="12" t="s">
        <v>68</v>
      </c>
      <c r="B52" s="13" t="s">
        <v>161</v>
      </c>
      <c r="C52" s="13" t="s">
        <v>131</v>
      </c>
      <c r="D52" s="13" t="str">
        <f>VLOOKUP(C52,RefProd!$A$2:$C$12,2,0)</f>
        <v>Keyboard Mechanical</v>
      </c>
      <c r="E52" s="13" t="str">
        <f>VLOOKUP(C52,RefProd!$A$2:$C$12,3,0)</f>
        <v>Keyboard</v>
      </c>
      <c r="F52" s="14">
        <v>46073</v>
      </c>
      <c r="G52" s="15">
        <v>14291261</v>
      </c>
      <c r="H52" s="13" t="s">
        <v>15</v>
      </c>
      <c r="I52" s="16" t="str">
        <f>VLOOKUP(H52,RefRegion!$A$2:$B$5,2,0)</f>
        <v>Jakarta</v>
      </c>
    </row>
    <row r="53" spans="1:9" x14ac:dyDescent="0.25">
      <c r="A53" s="12" t="s">
        <v>53</v>
      </c>
      <c r="B53" s="13" t="s">
        <v>162</v>
      </c>
      <c r="C53" s="13" t="s">
        <v>129</v>
      </c>
      <c r="D53" s="13" t="str">
        <f>VLOOKUP(C53,RefProd!$A$2:$C$12,2,0)</f>
        <v>Laptop RTY</v>
      </c>
      <c r="E53" s="13" t="str">
        <f>VLOOKUP(C53,RefProd!$A$2:$C$12,3,0)</f>
        <v>Laptop</v>
      </c>
      <c r="F53" s="14">
        <v>46074</v>
      </c>
      <c r="G53" s="15">
        <v>19282629</v>
      </c>
      <c r="H53" s="13" t="s">
        <v>11</v>
      </c>
      <c r="I53" s="16" t="str">
        <f>VLOOKUP(H53,RefRegion!$A$2:$B$5,2,0)</f>
        <v>Surabaya</v>
      </c>
    </row>
    <row r="54" spans="1:9" x14ac:dyDescent="0.25">
      <c r="A54" s="12" t="s">
        <v>38</v>
      </c>
      <c r="B54" s="13" t="s">
        <v>163</v>
      </c>
      <c r="C54" s="13" t="s">
        <v>128</v>
      </c>
      <c r="D54" s="13" t="str">
        <f>VLOOKUP(C54,RefProd!$A$2:$C$12,2,0)</f>
        <v>Keyboard Wireless</v>
      </c>
      <c r="E54" s="13" t="str">
        <f>VLOOKUP(C54,RefProd!$A$2:$C$12,3,0)</f>
        <v>Keyboard</v>
      </c>
      <c r="F54" s="14">
        <v>46075</v>
      </c>
      <c r="G54" s="15">
        <v>471836</v>
      </c>
      <c r="H54" s="13" t="s">
        <v>21</v>
      </c>
      <c r="I54" s="16" t="str">
        <f>VLOOKUP(H54,RefRegion!$A$2:$B$5,2,0)</f>
        <v>Makassar</v>
      </c>
    </row>
    <row r="55" spans="1:9" x14ac:dyDescent="0.25">
      <c r="A55" s="12" t="s">
        <v>69</v>
      </c>
      <c r="B55" s="13" t="s">
        <v>163</v>
      </c>
      <c r="C55" s="13" t="s">
        <v>23</v>
      </c>
      <c r="D55" s="13" t="str">
        <f>VLOOKUP(C55,RefProd!$A$2:$C$12,2,0)</f>
        <v>Mouse Gaming B</v>
      </c>
      <c r="E55" s="13" t="str">
        <f>VLOOKUP(C55,RefProd!$A$2:$C$12,3,0)</f>
        <v>Mouse</v>
      </c>
      <c r="F55" s="14">
        <v>46076</v>
      </c>
      <c r="G55" s="15">
        <v>3784702</v>
      </c>
      <c r="H55" s="13" t="s">
        <v>15</v>
      </c>
      <c r="I55" s="16" t="str">
        <f>VLOOKUP(H55,RefRegion!$A$2:$B$5,2,0)</f>
        <v>Jakarta</v>
      </c>
    </row>
    <row r="56" spans="1:9" x14ac:dyDescent="0.25">
      <c r="A56" s="12" t="s">
        <v>70</v>
      </c>
      <c r="B56" s="13" t="s">
        <v>163</v>
      </c>
      <c r="C56" s="13" t="s">
        <v>128</v>
      </c>
      <c r="D56" s="13" t="str">
        <f>VLOOKUP(C56,RefProd!$A$2:$C$12,2,0)</f>
        <v>Keyboard Wireless</v>
      </c>
      <c r="E56" s="13" t="str">
        <f>VLOOKUP(C56,RefProd!$A$2:$C$12,3,0)</f>
        <v>Keyboard</v>
      </c>
      <c r="F56" s="14">
        <v>46077</v>
      </c>
      <c r="G56" s="15">
        <v>7481369</v>
      </c>
      <c r="H56" s="13" t="s">
        <v>21</v>
      </c>
      <c r="I56" s="16" t="str">
        <f>VLOOKUP(H56,RefRegion!$A$2:$B$5,2,0)</f>
        <v>Makassar</v>
      </c>
    </row>
    <row r="57" spans="1:9" x14ac:dyDescent="0.25">
      <c r="A57" s="12" t="s">
        <v>71</v>
      </c>
      <c r="B57" s="13" t="s">
        <v>161</v>
      </c>
      <c r="C57" s="13" t="s">
        <v>133</v>
      </c>
      <c r="D57" s="13" t="str">
        <f>VLOOKUP(C57,RefProd!$A$2:$C$12,2,0)</f>
        <v>Printer Inkjet</v>
      </c>
      <c r="E57" s="13" t="str">
        <f>VLOOKUP(C57,RefProd!$A$2:$C$12,3,0)</f>
        <v>Printer</v>
      </c>
      <c r="F57" s="14">
        <v>46078</v>
      </c>
      <c r="G57" s="15">
        <v>19276651</v>
      </c>
      <c r="H57" s="13" t="s">
        <v>8</v>
      </c>
      <c r="I57" s="16" t="str">
        <f>VLOOKUP(H57,RefRegion!$A$2:$B$5,2,0)</f>
        <v>Medan</v>
      </c>
    </row>
    <row r="58" spans="1:9" x14ac:dyDescent="0.25">
      <c r="A58" s="12" t="s">
        <v>72</v>
      </c>
      <c r="B58" s="13" t="s">
        <v>161</v>
      </c>
      <c r="C58" s="13" t="s">
        <v>133</v>
      </c>
      <c r="D58" s="13" t="str">
        <f>VLOOKUP(C58,RefProd!$A$2:$C$12,2,0)</f>
        <v>Printer Inkjet</v>
      </c>
      <c r="E58" s="13" t="str">
        <f>VLOOKUP(C58,RefProd!$A$2:$C$12,3,0)</f>
        <v>Printer</v>
      </c>
      <c r="F58" s="14">
        <v>46079</v>
      </c>
      <c r="G58" s="15">
        <v>8785377</v>
      </c>
      <c r="H58" s="13" t="s">
        <v>8</v>
      </c>
      <c r="I58" s="16" t="str">
        <f>VLOOKUP(H58,RefRegion!$A$2:$B$5,2,0)</f>
        <v>Medan</v>
      </c>
    </row>
    <row r="59" spans="1:9" x14ac:dyDescent="0.25">
      <c r="A59" s="12" t="s">
        <v>73</v>
      </c>
      <c r="B59" s="13" t="s">
        <v>165</v>
      </c>
      <c r="C59" s="13" t="s">
        <v>135</v>
      </c>
      <c r="D59" s="13" t="str">
        <f>VLOOKUP(C59,RefProd!$A$2:$C$12,2,0)</f>
        <v>Mouse Optik A</v>
      </c>
      <c r="E59" s="13" t="str">
        <f>VLOOKUP(C59,RefProd!$A$2:$C$12,3,0)</f>
        <v>Mouse</v>
      </c>
      <c r="F59" s="14">
        <v>46080</v>
      </c>
      <c r="G59" s="15">
        <v>19635721</v>
      </c>
      <c r="H59" s="13" t="s">
        <v>21</v>
      </c>
      <c r="I59" s="16" t="str">
        <f>VLOOKUP(H59,RefRegion!$A$2:$B$5,2,0)</f>
        <v>Makassar</v>
      </c>
    </row>
    <row r="60" spans="1:9" x14ac:dyDescent="0.25">
      <c r="A60" s="12" t="s">
        <v>74</v>
      </c>
      <c r="B60" s="13" t="s">
        <v>162</v>
      </c>
      <c r="C60" s="13" t="s">
        <v>134</v>
      </c>
      <c r="D60" s="13" t="str">
        <f>VLOOKUP(C60,RefProd!$A$2:$C$12,2,0)</f>
        <v>Monitor 24 inch</v>
      </c>
      <c r="E60" s="13" t="str">
        <f>VLOOKUP(C60,RefProd!$A$2:$C$12,3,0)</f>
        <v>Monitor</v>
      </c>
      <c r="F60" s="14">
        <v>46081</v>
      </c>
      <c r="G60" s="15">
        <v>18248957</v>
      </c>
      <c r="H60" s="13" t="s">
        <v>15</v>
      </c>
      <c r="I60" s="16" t="str">
        <f>VLOOKUP(H60,RefRegion!$A$2:$B$5,2,0)</f>
        <v>Jakarta</v>
      </c>
    </row>
    <row r="61" spans="1:9" x14ac:dyDescent="0.25">
      <c r="A61" s="12" t="s">
        <v>75</v>
      </c>
      <c r="B61" s="13" t="s">
        <v>165</v>
      </c>
      <c r="C61" s="13" t="s">
        <v>128</v>
      </c>
      <c r="D61" s="13" t="str">
        <f>VLOOKUP(C61,RefProd!$A$2:$C$12,2,0)</f>
        <v>Keyboard Wireless</v>
      </c>
      <c r="E61" s="13" t="str">
        <f>VLOOKUP(C61,RefProd!$A$2:$C$12,3,0)</f>
        <v>Keyboard</v>
      </c>
      <c r="F61" s="14">
        <v>46082</v>
      </c>
      <c r="G61" s="15">
        <v>18024013</v>
      </c>
      <c r="H61" s="13" t="s">
        <v>21</v>
      </c>
      <c r="I61" s="16" t="str">
        <f>VLOOKUP(H61,RefRegion!$A$2:$B$5,2,0)</f>
        <v>Makassar</v>
      </c>
    </row>
    <row r="62" spans="1:9" x14ac:dyDescent="0.25">
      <c r="A62" s="12" t="s">
        <v>76</v>
      </c>
      <c r="B62" s="13" t="s">
        <v>163</v>
      </c>
      <c r="C62" s="13" t="s">
        <v>130</v>
      </c>
      <c r="D62" s="13" t="str">
        <f>VLOOKUP(C62,RefProd!$A$2:$C$12,2,0)</f>
        <v>Laptop QWE</v>
      </c>
      <c r="E62" s="13" t="str">
        <f>VLOOKUP(C62,RefProd!$A$2:$C$12,3,0)</f>
        <v>Laptop</v>
      </c>
      <c r="F62" s="14">
        <v>46083</v>
      </c>
      <c r="G62" s="15">
        <v>3247262</v>
      </c>
      <c r="H62" s="13" t="s">
        <v>15</v>
      </c>
      <c r="I62" s="16" t="str">
        <f>VLOOKUP(H62,RefRegion!$A$2:$B$5,2,0)</f>
        <v>Jakarta</v>
      </c>
    </row>
    <row r="63" spans="1:9" x14ac:dyDescent="0.25">
      <c r="A63" s="12" t="s">
        <v>77</v>
      </c>
      <c r="B63" s="13" t="s">
        <v>164</v>
      </c>
      <c r="C63" s="13" t="s">
        <v>132</v>
      </c>
      <c r="D63" s="13" t="str">
        <f>VLOOKUP(C63,RefProd!$A$2:$C$12,2,0)</f>
        <v>Printer Laser</v>
      </c>
      <c r="E63" s="13" t="str">
        <f>VLOOKUP(C63,RefProd!$A$2:$C$12,3,0)</f>
        <v>Printer</v>
      </c>
      <c r="F63" s="14">
        <v>46084</v>
      </c>
      <c r="G63" s="15">
        <v>11173639</v>
      </c>
      <c r="H63" s="13" t="s">
        <v>21</v>
      </c>
      <c r="I63" s="16" t="str">
        <f>VLOOKUP(H63,RefRegion!$A$2:$B$5,2,0)</f>
        <v>Makassar</v>
      </c>
    </row>
    <row r="64" spans="1:9" x14ac:dyDescent="0.25">
      <c r="A64" s="12" t="s">
        <v>78</v>
      </c>
      <c r="B64" s="13" t="s">
        <v>162</v>
      </c>
      <c r="C64" s="13" t="s">
        <v>129</v>
      </c>
      <c r="D64" s="13" t="str">
        <f>VLOOKUP(C64,RefProd!$A$2:$C$12,2,0)</f>
        <v>Laptop RTY</v>
      </c>
      <c r="E64" s="13" t="str">
        <f>VLOOKUP(C64,RefProd!$A$2:$C$12,3,0)</f>
        <v>Laptop</v>
      </c>
      <c r="F64" s="14">
        <v>46085</v>
      </c>
      <c r="G64" s="15">
        <v>764685</v>
      </c>
      <c r="H64" s="13" t="s">
        <v>21</v>
      </c>
      <c r="I64" s="16" t="str">
        <f>VLOOKUP(H64,RefRegion!$A$2:$B$5,2,0)</f>
        <v>Makassar</v>
      </c>
    </row>
    <row r="65" spans="1:9" x14ac:dyDescent="0.25">
      <c r="A65" s="12" t="s">
        <v>79</v>
      </c>
      <c r="B65" s="13" t="s">
        <v>163</v>
      </c>
      <c r="C65" s="13" t="s">
        <v>134</v>
      </c>
      <c r="D65" s="13" t="str">
        <f>VLOOKUP(C65,RefProd!$A$2:$C$12,2,0)</f>
        <v>Monitor 24 inch</v>
      </c>
      <c r="E65" s="13" t="str">
        <f>VLOOKUP(C65,RefProd!$A$2:$C$12,3,0)</f>
        <v>Monitor</v>
      </c>
      <c r="F65" s="14">
        <v>46086</v>
      </c>
      <c r="G65" s="15">
        <v>3079190</v>
      </c>
      <c r="H65" s="13" t="s">
        <v>11</v>
      </c>
      <c r="I65" s="16" t="str">
        <f>VLOOKUP(H65,RefRegion!$A$2:$B$5,2,0)</f>
        <v>Surabaya</v>
      </c>
    </row>
    <row r="66" spans="1:9" x14ac:dyDescent="0.25">
      <c r="A66" s="12" t="s">
        <v>69</v>
      </c>
      <c r="B66" s="13" t="s">
        <v>161</v>
      </c>
      <c r="C66" s="13" t="s">
        <v>18</v>
      </c>
      <c r="D66" s="13" t="str">
        <f>VLOOKUP(C66,RefProd!$A$2:$C$12,2,0)</f>
        <v>Laptop XYZ</v>
      </c>
      <c r="E66" s="13" t="str">
        <f>VLOOKUP(C66,RefProd!$A$2:$C$12,3,0)</f>
        <v>Laptop</v>
      </c>
      <c r="F66" s="14">
        <v>46087</v>
      </c>
      <c r="G66" s="15">
        <v>1207293</v>
      </c>
      <c r="H66" s="13" t="s">
        <v>15</v>
      </c>
      <c r="I66" s="16" t="str">
        <f>VLOOKUP(H66,RefRegion!$A$2:$B$5,2,0)</f>
        <v>Jakarta</v>
      </c>
    </row>
    <row r="67" spans="1:9" x14ac:dyDescent="0.25">
      <c r="A67" s="12" t="s">
        <v>80</v>
      </c>
      <c r="B67" s="13" t="s">
        <v>164</v>
      </c>
      <c r="C67" s="13" t="s">
        <v>18</v>
      </c>
      <c r="D67" s="13" t="str">
        <f>VLOOKUP(C67,RefProd!$A$2:$C$12,2,0)</f>
        <v>Laptop XYZ</v>
      </c>
      <c r="E67" s="13" t="str">
        <f>VLOOKUP(C67,RefProd!$A$2:$C$12,3,0)</f>
        <v>Laptop</v>
      </c>
      <c r="F67" s="14">
        <v>46088</v>
      </c>
      <c r="G67" s="15">
        <v>3566612</v>
      </c>
      <c r="H67" s="13" t="s">
        <v>21</v>
      </c>
      <c r="I67" s="16" t="str">
        <f>VLOOKUP(H67,RefRegion!$A$2:$B$5,2,0)</f>
        <v>Makassar</v>
      </c>
    </row>
    <row r="68" spans="1:9" x14ac:dyDescent="0.25">
      <c r="A68" s="12" t="s">
        <v>81</v>
      </c>
      <c r="B68" s="13" t="s">
        <v>161</v>
      </c>
      <c r="C68" s="13" t="s">
        <v>130</v>
      </c>
      <c r="D68" s="13" t="str">
        <f>VLOOKUP(C68,RefProd!$A$2:$C$12,2,0)</f>
        <v>Laptop QWE</v>
      </c>
      <c r="E68" s="13" t="str">
        <f>VLOOKUP(C68,RefProd!$A$2:$C$12,3,0)</f>
        <v>Laptop</v>
      </c>
      <c r="F68" s="14">
        <v>46089</v>
      </c>
      <c r="G68" s="15">
        <v>2904238</v>
      </c>
      <c r="H68" s="13" t="s">
        <v>11</v>
      </c>
      <c r="I68" s="16" t="str">
        <f>VLOOKUP(H68,RefRegion!$A$2:$B$5,2,0)</f>
        <v>Surabaya</v>
      </c>
    </row>
    <row r="69" spans="1:9" x14ac:dyDescent="0.25">
      <c r="A69" s="12" t="s">
        <v>82</v>
      </c>
      <c r="B69" s="13" t="s">
        <v>161</v>
      </c>
      <c r="C69" s="13" t="s">
        <v>134</v>
      </c>
      <c r="D69" s="13" t="str">
        <f>VLOOKUP(C69,RefProd!$A$2:$C$12,2,0)</f>
        <v>Monitor 24 inch</v>
      </c>
      <c r="E69" s="13" t="str">
        <f>VLOOKUP(C69,RefProd!$A$2:$C$12,3,0)</f>
        <v>Monitor</v>
      </c>
      <c r="F69" s="14">
        <v>46090</v>
      </c>
      <c r="G69" s="15">
        <v>2830708</v>
      </c>
      <c r="H69" s="13" t="s">
        <v>15</v>
      </c>
      <c r="I69" s="16" t="str">
        <f>VLOOKUP(H69,RefRegion!$A$2:$B$5,2,0)</f>
        <v>Jakarta</v>
      </c>
    </row>
    <row r="70" spans="1:9" x14ac:dyDescent="0.25">
      <c r="A70" s="12" t="s">
        <v>83</v>
      </c>
      <c r="B70" s="13" t="s">
        <v>162</v>
      </c>
      <c r="C70" s="13" t="s">
        <v>129</v>
      </c>
      <c r="D70" s="13" t="str">
        <f>VLOOKUP(C70,RefProd!$A$2:$C$12,2,0)</f>
        <v>Laptop RTY</v>
      </c>
      <c r="E70" s="13" t="str">
        <f>VLOOKUP(C70,RefProd!$A$2:$C$12,3,0)</f>
        <v>Laptop</v>
      </c>
      <c r="F70" s="14">
        <v>46091</v>
      </c>
      <c r="G70" s="15">
        <v>3694679</v>
      </c>
      <c r="H70" s="13" t="s">
        <v>8</v>
      </c>
      <c r="I70" s="16" t="str">
        <f>VLOOKUP(H70,RefRegion!$A$2:$B$5,2,0)</f>
        <v>Medan</v>
      </c>
    </row>
    <row r="71" spans="1:9" x14ac:dyDescent="0.25">
      <c r="A71" s="12" t="s">
        <v>84</v>
      </c>
      <c r="B71" s="13" t="s">
        <v>163</v>
      </c>
      <c r="C71" s="13" t="s">
        <v>134</v>
      </c>
      <c r="D71" s="13" t="str">
        <f>VLOOKUP(C71,RefProd!$A$2:$C$12,2,0)</f>
        <v>Monitor 24 inch</v>
      </c>
      <c r="E71" s="13" t="str">
        <f>VLOOKUP(C71,RefProd!$A$2:$C$12,3,0)</f>
        <v>Monitor</v>
      </c>
      <c r="F71" s="14">
        <v>46092</v>
      </c>
      <c r="G71" s="15">
        <v>18744856</v>
      </c>
      <c r="H71" s="13" t="s">
        <v>21</v>
      </c>
      <c r="I71" s="16" t="str">
        <f>VLOOKUP(H71,RefRegion!$A$2:$B$5,2,0)</f>
        <v>Makassar</v>
      </c>
    </row>
    <row r="72" spans="1:9" x14ac:dyDescent="0.25">
      <c r="A72" s="12" t="s">
        <v>30</v>
      </c>
      <c r="B72" s="13" t="s">
        <v>165</v>
      </c>
      <c r="C72" s="13" t="s">
        <v>135</v>
      </c>
      <c r="D72" s="13" t="str">
        <f>VLOOKUP(C72,RefProd!$A$2:$C$12,2,0)</f>
        <v>Mouse Optik A</v>
      </c>
      <c r="E72" s="13" t="str">
        <f>VLOOKUP(C72,RefProd!$A$2:$C$12,3,0)</f>
        <v>Mouse</v>
      </c>
      <c r="F72" s="14">
        <v>46093</v>
      </c>
      <c r="G72" s="15">
        <v>15806139</v>
      </c>
      <c r="H72" s="13" t="s">
        <v>15</v>
      </c>
      <c r="I72" s="16" t="str">
        <f>VLOOKUP(H72,RefRegion!$A$2:$B$5,2,0)</f>
        <v>Jakarta</v>
      </c>
    </row>
    <row r="73" spans="1:9" x14ac:dyDescent="0.25">
      <c r="A73" s="12" t="s">
        <v>85</v>
      </c>
      <c r="B73" s="13" t="s">
        <v>165</v>
      </c>
      <c r="C73" s="13" t="s">
        <v>129</v>
      </c>
      <c r="D73" s="13" t="str">
        <f>VLOOKUP(C73,RefProd!$A$2:$C$12,2,0)</f>
        <v>Laptop RTY</v>
      </c>
      <c r="E73" s="13" t="str">
        <f>VLOOKUP(C73,RefProd!$A$2:$C$12,3,0)</f>
        <v>Laptop</v>
      </c>
      <c r="F73" s="14">
        <v>46094</v>
      </c>
      <c r="G73" s="15">
        <v>11202348</v>
      </c>
      <c r="H73" s="13" t="s">
        <v>15</v>
      </c>
      <c r="I73" s="16" t="str">
        <f>VLOOKUP(H73,RefRegion!$A$2:$B$5,2,0)</f>
        <v>Jakarta</v>
      </c>
    </row>
    <row r="74" spans="1:9" x14ac:dyDescent="0.25">
      <c r="A74" s="12" t="s">
        <v>86</v>
      </c>
      <c r="B74" s="13" t="s">
        <v>164</v>
      </c>
      <c r="C74" s="13" t="s">
        <v>23</v>
      </c>
      <c r="D74" s="13" t="str">
        <f>VLOOKUP(C74,RefProd!$A$2:$C$12,2,0)</f>
        <v>Mouse Gaming B</v>
      </c>
      <c r="E74" s="13" t="str">
        <f>VLOOKUP(C74,RefProd!$A$2:$C$12,3,0)</f>
        <v>Mouse</v>
      </c>
      <c r="F74" s="14">
        <v>46095</v>
      </c>
      <c r="G74" s="15">
        <v>1485160</v>
      </c>
      <c r="H74" s="13" t="s">
        <v>15</v>
      </c>
      <c r="I74" s="16" t="str">
        <f>VLOOKUP(H74,RefRegion!$A$2:$B$5,2,0)</f>
        <v>Jakarta</v>
      </c>
    </row>
    <row r="75" spans="1:9" x14ac:dyDescent="0.25">
      <c r="A75" s="12" t="s">
        <v>87</v>
      </c>
      <c r="B75" s="13" t="s">
        <v>164</v>
      </c>
      <c r="C75" s="13" t="s">
        <v>128</v>
      </c>
      <c r="D75" s="13" t="str">
        <f>VLOOKUP(C75,RefProd!$A$2:$C$12,2,0)</f>
        <v>Keyboard Wireless</v>
      </c>
      <c r="E75" s="13" t="str">
        <f>VLOOKUP(C75,RefProd!$A$2:$C$12,3,0)</f>
        <v>Keyboard</v>
      </c>
      <c r="F75" s="14">
        <v>46096</v>
      </c>
      <c r="G75" s="15">
        <v>5373036</v>
      </c>
      <c r="H75" s="13" t="s">
        <v>15</v>
      </c>
      <c r="I75" s="16" t="str">
        <f>VLOOKUP(H75,RefRegion!$A$2:$B$5,2,0)</f>
        <v>Jakarta</v>
      </c>
    </row>
    <row r="76" spans="1:9" x14ac:dyDescent="0.25">
      <c r="A76" s="12" t="s">
        <v>88</v>
      </c>
      <c r="B76" s="13" t="s">
        <v>165</v>
      </c>
      <c r="C76" s="13" t="s">
        <v>135</v>
      </c>
      <c r="D76" s="13" t="str">
        <f>VLOOKUP(C76,RefProd!$A$2:$C$12,2,0)</f>
        <v>Mouse Optik A</v>
      </c>
      <c r="E76" s="13" t="str">
        <f>VLOOKUP(C76,RefProd!$A$2:$C$12,3,0)</f>
        <v>Mouse</v>
      </c>
      <c r="F76" s="14">
        <v>46097</v>
      </c>
      <c r="G76" s="15">
        <v>18402688</v>
      </c>
      <c r="H76" s="13" t="s">
        <v>8</v>
      </c>
      <c r="I76" s="16" t="str">
        <f>VLOOKUP(H76,RefRegion!$A$2:$B$5,2,0)</f>
        <v>Medan</v>
      </c>
    </row>
    <row r="77" spans="1:9" x14ac:dyDescent="0.25">
      <c r="A77" s="12" t="s">
        <v>89</v>
      </c>
      <c r="B77" s="13" t="s">
        <v>165</v>
      </c>
      <c r="C77" s="13" t="s">
        <v>18</v>
      </c>
      <c r="D77" s="13" t="str">
        <f>VLOOKUP(C77,RefProd!$A$2:$C$12,2,0)</f>
        <v>Laptop XYZ</v>
      </c>
      <c r="E77" s="13" t="str">
        <f>VLOOKUP(C77,RefProd!$A$2:$C$12,3,0)</f>
        <v>Laptop</v>
      </c>
      <c r="F77" s="14">
        <v>46098</v>
      </c>
      <c r="G77" s="15">
        <v>248984</v>
      </c>
      <c r="H77" s="13" t="s">
        <v>15</v>
      </c>
      <c r="I77" s="16" t="str">
        <f>VLOOKUP(H77,RefRegion!$A$2:$B$5,2,0)</f>
        <v>Jakarta</v>
      </c>
    </row>
    <row r="78" spans="1:9" x14ac:dyDescent="0.25">
      <c r="A78" s="12" t="s">
        <v>90</v>
      </c>
      <c r="B78" s="13" t="s">
        <v>161</v>
      </c>
      <c r="C78" s="13" t="s">
        <v>129</v>
      </c>
      <c r="D78" s="13" t="str">
        <f>VLOOKUP(C78,RefProd!$A$2:$C$12,2,0)</f>
        <v>Laptop RTY</v>
      </c>
      <c r="E78" s="13" t="str">
        <f>VLOOKUP(C78,RefProd!$A$2:$C$12,3,0)</f>
        <v>Laptop</v>
      </c>
      <c r="F78" s="14">
        <v>46099</v>
      </c>
      <c r="G78" s="15">
        <v>10988678</v>
      </c>
      <c r="H78" s="13" t="s">
        <v>15</v>
      </c>
      <c r="I78" s="16" t="str">
        <f>VLOOKUP(H78,RefRegion!$A$2:$B$5,2,0)</f>
        <v>Jakarta</v>
      </c>
    </row>
    <row r="79" spans="1:9" x14ac:dyDescent="0.25">
      <c r="A79" s="12" t="s">
        <v>91</v>
      </c>
      <c r="B79" s="13" t="s">
        <v>161</v>
      </c>
      <c r="C79" s="13" t="s">
        <v>131</v>
      </c>
      <c r="D79" s="13" t="str">
        <f>VLOOKUP(C79,RefProd!$A$2:$C$12,2,0)</f>
        <v>Keyboard Mechanical</v>
      </c>
      <c r="E79" s="13" t="str">
        <f>VLOOKUP(C79,RefProd!$A$2:$C$12,3,0)</f>
        <v>Keyboard</v>
      </c>
      <c r="F79" s="14">
        <v>46100</v>
      </c>
      <c r="G79" s="15">
        <v>6756168</v>
      </c>
      <c r="H79" s="13" t="s">
        <v>11</v>
      </c>
      <c r="I79" s="16" t="str">
        <f>VLOOKUP(H79,RefRegion!$A$2:$B$5,2,0)</f>
        <v>Surabaya</v>
      </c>
    </row>
    <row r="80" spans="1:9" x14ac:dyDescent="0.25">
      <c r="A80" s="12" t="s">
        <v>92</v>
      </c>
      <c r="B80" s="13" t="s">
        <v>161</v>
      </c>
      <c r="C80" s="13" t="s">
        <v>18</v>
      </c>
      <c r="D80" s="13" t="str">
        <f>VLOOKUP(C80,RefProd!$A$2:$C$12,2,0)</f>
        <v>Laptop XYZ</v>
      </c>
      <c r="E80" s="13" t="str">
        <f>VLOOKUP(C80,RefProd!$A$2:$C$12,3,0)</f>
        <v>Laptop</v>
      </c>
      <c r="F80" s="14">
        <v>46101</v>
      </c>
      <c r="G80" s="15">
        <v>18481600</v>
      </c>
      <c r="H80" s="13" t="s">
        <v>11</v>
      </c>
      <c r="I80" s="16" t="str">
        <f>VLOOKUP(H80,RefRegion!$A$2:$B$5,2,0)</f>
        <v>Surabaya</v>
      </c>
    </row>
    <row r="81" spans="1:9" x14ac:dyDescent="0.25">
      <c r="A81" s="12" t="s">
        <v>93</v>
      </c>
      <c r="B81" s="13" t="s">
        <v>162</v>
      </c>
      <c r="C81" s="13" t="s">
        <v>129</v>
      </c>
      <c r="D81" s="13" t="str">
        <f>VLOOKUP(C81,RefProd!$A$2:$C$12,2,0)</f>
        <v>Laptop RTY</v>
      </c>
      <c r="E81" s="13" t="str">
        <f>VLOOKUP(C81,RefProd!$A$2:$C$12,3,0)</f>
        <v>Laptop</v>
      </c>
      <c r="F81" s="14">
        <v>46102</v>
      </c>
      <c r="G81" s="15">
        <v>14816555</v>
      </c>
      <c r="H81" s="13" t="s">
        <v>11</v>
      </c>
      <c r="I81" s="16" t="str">
        <f>VLOOKUP(H81,RefRegion!$A$2:$B$5,2,0)</f>
        <v>Surabaya</v>
      </c>
    </row>
    <row r="82" spans="1:9" x14ac:dyDescent="0.25">
      <c r="A82" s="12" t="s">
        <v>94</v>
      </c>
      <c r="B82" s="13" t="s">
        <v>163</v>
      </c>
      <c r="C82" s="13" t="s">
        <v>130</v>
      </c>
      <c r="D82" s="13" t="str">
        <f>VLOOKUP(C82,RefProd!$A$2:$C$12,2,0)</f>
        <v>Laptop QWE</v>
      </c>
      <c r="E82" s="13" t="str">
        <f>VLOOKUP(C82,RefProd!$A$2:$C$12,3,0)</f>
        <v>Laptop</v>
      </c>
      <c r="F82" s="14">
        <v>46103</v>
      </c>
      <c r="G82" s="15">
        <v>19208135</v>
      </c>
      <c r="H82" s="13" t="s">
        <v>21</v>
      </c>
      <c r="I82" s="16" t="str">
        <f>VLOOKUP(H82,RefRegion!$A$2:$B$5,2,0)</f>
        <v>Makassar</v>
      </c>
    </row>
    <row r="83" spans="1:9" x14ac:dyDescent="0.25">
      <c r="A83" s="12" t="s">
        <v>95</v>
      </c>
      <c r="B83" s="13" t="s">
        <v>163</v>
      </c>
      <c r="C83" s="13" t="s">
        <v>127</v>
      </c>
      <c r="D83" s="13" t="str">
        <f>VLOOKUP(C83,RefProd!$A$2:$C$12,2,0)</f>
        <v>Monitor 27 inch</v>
      </c>
      <c r="E83" s="13" t="str">
        <f>VLOOKUP(C83,RefProd!$A$2:$C$12,3,0)</f>
        <v>Monitor</v>
      </c>
      <c r="F83" s="14">
        <v>46104</v>
      </c>
      <c r="G83" s="15">
        <v>12919242</v>
      </c>
      <c r="H83" s="13" t="s">
        <v>8</v>
      </c>
      <c r="I83" s="16" t="str">
        <f>VLOOKUP(H83,RefRegion!$A$2:$B$5,2,0)</f>
        <v>Medan</v>
      </c>
    </row>
    <row r="84" spans="1:9" x14ac:dyDescent="0.25">
      <c r="A84" s="12" t="s">
        <v>96</v>
      </c>
      <c r="B84" s="13" t="s">
        <v>163</v>
      </c>
      <c r="C84" s="13" t="s">
        <v>128</v>
      </c>
      <c r="D84" s="13" t="str">
        <f>VLOOKUP(C84,RefProd!$A$2:$C$12,2,0)</f>
        <v>Keyboard Wireless</v>
      </c>
      <c r="E84" s="13" t="str">
        <f>VLOOKUP(C84,RefProd!$A$2:$C$12,3,0)</f>
        <v>Keyboard</v>
      </c>
      <c r="F84" s="14">
        <v>46105</v>
      </c>
      <c r="G84" s="15">
        <v>15360818</v>
      </c>
      <c r="H84" s="13" t="s">
        <v>8</v>
      </c>
      <c r="I84" s="16" t="str">
        <f>VLOOKUP(H84,RefRegion!$A$2:$B$5,2,0)</f>
        <v>Medan</v>
      </c>
    </row>
    <row r="85" spans="1:9" x14ac:dyDescent="0.25">
      <c r="A85" s="12" t="s">
        <v>97</v>
      </c>
      <c r="B85" s="13" t="s">
        <v>162</v>
      </c>
      <c r="C85" s="13" t="s">
        <v>131</v>
      </c>
      <c r="D85" s="13" t="str">
        <f>VLOOKUP(C85,RefProd!$A$2:$C$12,2,0)</f>
        <v>Keyboard Mechanical</v>
      </c>
      <c r="E85" s="13" t="str">
        <f>VLOOKUP(C85,RefProd!$A$2:$C$12,3,0)</f>
        <v>Keyboard</v>
      </c>
      <c r="F85" s="14">
        <v>46106</v>
      </c>
      <c r="G85" s="15">
        <v>16230288</v>
      </c>
      <c r="H85" s="13" t="s">
        <v>8</v>
      </c>
      <c r="I85" s="16" t="str">
        <f>VLOOKUP(H85,RefRegion!$A$2:$B$5,2,0)</f>
        <v>Medan</v>
      </c>
    </row>
    <row r="86" spans="1:9" x14ac:dyDescent="0.25">
      <c r="A86" s="12" t="s">
        <v>98</v>
      </c>
      <c r="B86" s="13" t="s">
        <v>161</v>
      </c>
      <c r="C86" s="13" t="s">
        <v>131</v>
      </c>
      <c r="D86" s="13" t="str">
        <f>VLOOKUP(C86,RefProd!$A$2:$C$12,2,0)</f>
        <v>Keyboard Mechanical</v>
      </c>
      <c r="E86" s="13" t="str">
        <f>VLOOKUP(C86,RefProd!$A$2:$C$12,3,0)</f>
        <v>Keyboard</v>
      </c>
      <c r="F86" s="14">
        <v>46107</v>
      </c>
      <c r="G86" s="15">
        <v>1937095</v>
      </c>
      <c r="H86" s="13" t="s">
        <v>15</v>
      </c>
      <c r="I86" s="16" t="str">
        <f>VLOOKUP(H86,RefRegion!$A$2:$B$5,2,0)</f>
        <v>Jakarta</v>
      </c>
    </row>
    <row r="87" spans="1:9" x14ac:dyDescent="0.25">
      <c r="A87" s="12" t="s">
        <v>99</v>
      </c>
      <c r="B87" s="13" t="s">
        <v>163</v>
      </c>
      <c r="C87" s="13" t="s">
        <v>18</v>
      </c>
      <c r="D87" s="13" t="str">
        <f>VLOOKUP(C87,RefProd!$A$2:$C$12,2,0)</f>
        <v>Laptop XYZ</v>
      </c>
      <c r="E87" s="13" t="str">
        <f>VLOOKUP(C87,RefProd!$A$2:$C$12,3,0)</f>
        <v>Laptop</v>
      </c>
      <c r="F87" s="14">
        <v>46108</v>
      </c>
      <c r="G87" s="15">
        <v>10699746</v>
      </c>
      <c r="H87" s="13" t="s">
        <v>15</v>
      </c>
      <c r="I87" s="16" t="str">
        <f>VLOOKUP(H87,RefRegion!$A$2:$B$5,2,0)</f>
        <v>Jakarta</v>
      </c>
    </row>
    <row r="88" spans="1:9" x14ac:dyDescent="0.25">
      <c r="A88" s="12" t="s">
        <v>100</v>
      </c>
      <c r="B88" s="13" t="s">
        <v>165</v>
      </c>
      <c r="C88" s="13" t="s">
        <v>134</v>
      </c>
      <c r="D88" s="13" t="str">
        <f>VLOOKUP(C88,RefProd!$A$2:$C$12,2,0)</f>
        <v>Monitor 24 inch</v>
      </c>
      <c r="E88" s="13" t="str">
        <f>VLOOKUP(C88,RefProd!$A$2:$C$12,3,0)</f>
        <v>Monitor</v>
      </c>
      <c r="F88" s="14">
        <v>46109</v>
      </c>
      <c r="G88" s="15">
        <v>4980450</v>
      </c>
      <c r="H88" s="13" t="s">
        <v>8</v>
      </c>
      <c r="I88" s="16" t="str">
        <f>VLOOKUP(H88,RefRegion!$A$2:$B$5,2,0)</f>
        <v>Medan</v>
      </c>
    </row>
    <row r="89" spans="1:9" x14ac:dyDescent="0.25">
      <c r="A89" s="12" t="s">
        <v>101</v>
      </c>
      <c r="B89" s="13" t="s">
        <v>162</v>
      </c>
      <c r="C89" s="13" t="s">
        <v>132</v>
      </c>
      <c r="D89" s="13" t="str">
        <f>VLOOKUP(C89,RefProd!$A$2:$C$12,2,0)</f>
        <v>Printer Laser</v>
      </c>
      <c r="E89" s="13" t="str">
        <f>VLOOKUP(C89,RefProd!$A$2:$C$12,3,0)</f>
        <v>Printer</v>
      </c>
      <c r="F89" s="14">
        <v>46110</v>
      </c>
      <c r="G89" s="15">
        <v>19087034</v>
      </c>
      <c r="H89" s="13" t="s">
        <v>21</v>
      </c>
      <c r="I89" s="16" t="str">
        <f>VLOOKUP(H89,RefRegion!$A$2:$B$5,2,0)</f>
        <v>Makassar</v>
      </c>
    </row>
    <row r="90" spans="1:9" x14ac:dyDescent="0.25">
      <c r="A90" s="12" t="s">
        <v>102</v>
      </c>
      <c r="B90" s="13" t="s">
        <v>163</v>
      </c>
      <c r="C90" s="13" t="s">
        <v>128</v>
      </c>
      <c r="D90" s="13" t="str">
        <f>VLOOKUP(C90,RefProd!$A$2:$C$12,2,0)</f>
        <v>Keyboard Wireless</v>
      </c>
      <c r="E90" s="13" t="str">
        <f>VLOOKUP(C90,RefProd!$A$2:$C$12,3,0)</f>
        <v>Keyboard</v>
      </c>
      <c r="F90" s="14">
        <v>46111</v>
      </c>
      <c r="G90" s="15">
        <v>16229444</v>
      </c>
      <c r="H90" s="13" t="s">
        <v>15</v>
      </c>
      <c r="I90" s="16" t="str">
        <f>VLOOKUP(H90,RefRegion!$A$2:$B$5,2,0)</f>
        <v>Jakarta</v>
      </c>
    </row>
    <row r="91" spans="1:9" x14ac:dyDescent="0.25">
      <c r="A91" s="12" t="s">
        <v>103</v>
      </c>
      <c r="B91" s="13" t="s">
        <v>165</v>
      </c>
      <c r="C91" s="13" t="s">
        <v>127</v>
      </c>
      <c r="D91" s="13" t="str">
        <f>VLOOKUP(C91,RefProd!$A$2:$C$12,2,0)</f>
        <v>Monitor 27 inch</v>
      </c>
      <c r="E91" s="13" t="str">
        <f>VLOOKUP(C91,RefProd!$A$2:$C$12,3,0)</f>
        <v>Monitor</v>
      </c>
      <c r="F91" s="14">
        <v>46112</v>
      </c>
      <c r="G91" s="15">
        <v>19209001</v>
      </c>
      <c r="H91" s="13" t="s">
        <v>8</v>
      </c>
      <c r="I91" s="16" t="str">
        <f>VLOOKUP(H91,RefRegion!$A$2:$B$5,2,0)</f>
        <v>Medan</v>
      </c>
    </row>
    <row r="92" spans="1:9" x14ac:dyDescent="0.25">
      <c r="A92" s="12" t="s">
        <v>104</v>
      </c>
      <c r="B92" s="13" t="s">
        <v>164</v>
      </c>
      <c r="C92" s="13" t="s">
        <v>134</v>
      </c>
      <c r="D92" s="13" t="str">
        <f>VLOOKUP(C92,RefProd!$A$2:$C$12,2,0)</f>
        <v>Monitor 24 inch</v>
      </c>
      <c r="E92" s="13" t="str">
        <f>VLOOKUP(C92,RefProd!$A$2:$C$12,3,0)</f>
        <v>Monitor</v>
      </c>
      <c r="F92" s="14">
        <v>46113</v>
      </c>
      <c r="G92" s="15">
        <v>11536697</v>
      </c>
      <c r="H92" s="13" t="s">
        <v>8</v>
      </c>
      <c r="I92" s="16" t="str">
        <f>VLOOKUP(H92,RefRegion!$A$2:$B$5,2,0)</f>
        <v>Medan</v>
      </c>
    </row>
    <row r="93" spans="1:9" x14ac:dyDescent="0.25">
      <c r="A93" s="12" t="s">
        <v>105</v>
      </c>
      <c r="B93" s="13" t="s">
        <v>165</v>
      </c>
      <c r="C93" s="13" t="s">
        <v>132</v>
      </c>
      <c r="D93" s="13" t="str">
        <f>VLOOKUP(C93,RefProd!$A$2:$C$12,2,0)</f>
        <v>Printer Laser</v>
      </c>
      <c r="E93" s="13" t="str">
        <f>VLOOKUP(C93,RefProd!$A$2:$C$12,3,0)</f>
        <v>Printer</v>
      </c>
      <c r="F93" s="14">
        <v>46114</v>
      </c>
      <c r="G93" s="15">
        <v>4053339</v>
      </c>
      <c r="H93" s="13" t="s">
        <v>8</v>
      </c>
      <c r="I93" s="16" t="str">
        <f>VLOOKUP(H93,RefRegion!$A$2:$B$5,2,0)</f>
        <v>Medan</v>
      </c>
    </row>
    <row r="94" spans="1:9" x14ac:dyDescent="0.25">
      <c r="A94" s="12" t="s">
        <v>106</v>
      </c>
      <c r="B94" s="13" t="s">
        <v>162</v>
      </c>
      <c r="C94" s="13" t="s">
        <v>129</v>
      </c>
      <c r="D94" s="13" t="str">
        <f>VLOOKUP(C94,RefProd!$A$2:$C$12,2,0)</f>
        <v>Laptop RTY</v>
      </c>
      <c r="E94" s="13" t="str">
        <f>VLOOKUP(C94,RefProd!$A$2:$C$12,3,0)</f>
        <v>Laptop</v>
      </c>
      <c r="F94" s="14">
        <v>46115</v>
      </c>
      <c r="G94" s="15">
        <v>16213446</v>
      </c>
      <c r="H94" s="13" t="s">
        <v>8</v>
      </c>
      <c r="I94" s="16" t="str">
        <f>VLOOKUP(H94,RefRegion!$A$2:$B$5,2,0)</f>
        <v>Medan</v>
      </c>
    </row>
    <row r="95" spans="1:9" x14ac:dyDescent="0.25">
      <c r="A95" s="12" t="s">
        <v>107</v>
      </c>
      <c r="B95" s="13" t="s">
        <v>163</v>
      </c>
      <c r="C95" s="13" t="s">
        <v>127</v>
      </c>
      <c r="D95" s="13" t="str">
        <f>VLOOKUP(C95,RefProd!$A$2:$C$12,2,0)</f>
        <v>Monitor 27 inch</v>
      </c>
      <c r="E95" s="13" t="str">
        <f>VLOOKUP(C95,RefProd!$A$2:$C$12,3,0)</f>
        <v>Monitor</v>
      </c>
      <c r="F95" s="14">
        <v>46116</v>
      </c>
      <c r="G95" s="15">
        <v>17973323</v>
      </c>
      <c r="H95" s="13" t="s">
        <v>21</v>
      </c>
      <c r="I95" s="16" t="str">
        <f>VLOOKUP(H95,RefRegion!$A$2:$B$5,2,0)</f>
        <v>Makassar</v>
      </c>
    </row>
    <row r="96" spans="1:9" x14ac:dyDescent="0.25">
      <c r="A96" s="12" t="s">
        <v>108</v>
      </c>
      <c r="B96" s="13" t="s">
        <v>163</v>
      </c>
      <c r="C96" s="13" t="s">
        <v>18</v>
      </c>
      <c r="D96" s="13" t="str">
        <f>VLOOKUP(C96,RefProd!$A$2:$C$12,2,0)</f>
        <v>Laptop XYZ</v>
      </c>
      <c r="E96" s="13" t="str">
        <f>VLOOKUP(C96,RefProd!$A$2:$C$12,3,0)</f>
        <v>Laptop</v>
      </c>
      <c r="F96" s="14">
        <v>46117</v>
      </c>
      <c r="G96" s="15">
        <v>12110049</v>
      </c>
      <c r="H96" s="13" t="s">
        <v>21</v>
      </c>
      <c r="I96" s="16" t="str">
        <f>VLOOKUP(H96,RefRegion!$A$2:$B$5,2,0)</f>
        <v>Makassar</v>
      </c>
    </row>
    <row r="97" spans="1:9" x14ac:dyDescent="0.25">
      <c r="A97" s="12" t="s">
        <v>109</v>
      </c>
      <c r="B97" s="13" t="s">
        <v>164</v>
      </c>
      <c r="C97" s="13" t="s">
        <v>132</v>
      </c>
      <c r="D97" s="13" t="str">
        <f>VLOOKUP(C97,RefProd!$A$2:$C$12,2,0)</f>
        <v>Printer Laser</v>
      </c>
      <c r="E97" s="13" t="str">
        <f>VLOOKUP(C97,RefProd!$A$2:$C$12,3,0)</f>
        <v>Printer</v>
      </c>
      <c r="F97" s="14">
        <v>46118</v>
      </c>
      <c r="G97" s="15">
        <v>7330144</v>
      </c>
      <c r="H97" s="13" t="s">
        <v>8</v>
      </c>
      <c r="I97" s="16" t="str">
        <f>VLOOKUP(H97,RefRegion!$A$2:$B$5,2,0)</f>
        <v>Medan</v>
      </c>
    </row>
    <row r="98" spans="1:9" x14ac:dyDescent="0.25">
      <c r="A98" s="12" t="s">
        <v>110</v>
      </c>
      <c r="B98" s="13" t="s">
        <v>164</v>
      </c>
      <c r="C98" s="13" t="s">
        <v>131</v>
      </c>
      <c r="D98" s="13" t="str">
        <f>VLOOKUP(C98,RefProd!$A$2:$C$12,2,0)</f>
        <v>Keyboard Mechanical</v>
      </c>
      <c r="E98" s="13" t="str">
        <f>VLOOKUP(C98,RefProd!$A$2:$C$12,3,0)</f>
        <v>Keyboard</v>
      </c>
      <c r="F98" s="14">
        <v>46119</v>
      </c>
      <c r="G98" s="15">
        <v>4745583</v>
      </c>
      <c r="H98" s="13" t="s">
        <v>21</v>
      </c>
      <c r="I98" s="16" t="str">
        <f>VLOOKUP(H98,RefRegion!$A$2:$B$5,2,0)</f>
        <v>Makassar</v>
      </c>
    </row>
    <row r="99" spans="1:9" x14ac:dyDescent="0.25">
      <c r="A99" s="12" t="s">
        <v>111</v>
      </c>
      <c r="B99" s="13" t="s">
        <v>162</v>
      </c>
      <c r="C99" s="13" t="s">
        <v>131</v>
      </c>
      <c r="D99" s="13" t="str">
        <f>VLOOKUP(C99,RefProd!$A$2:$C$12,2,0)</f>
        <v>Keyboard Mechanical</v>
      </c>
      <c r="E99" s="13" t="str">
        <f>VLOOKUP(C99,RefProd!$A$2:$C$12,3,0)</f>
        <v>Keyboard</v>
      </c>
      <c r="F99" s="14">
        <v>46120</v>
      </c>
      <c r="G99" s="15">
        <v>15793974</v>
      </c>
      <c r="H99" s="13" t="s">
        <v>8</v>
      </c>
      <c r="I99" s="16" t="str">
        <f>VLOOKUP(H99,RefRegion!$A$2:$B$5,2,0)</f>
        <v>Medan</v>
      </c>
    </row>
    <row r="100" spans="1:9" x14ac:dyDescent="0.25">
      <c r="A100" s="12" t="s">
        <v>112</v>
      </c>
      <c r="B100" s="13" t="s">
        <v>162</v>
      </c>
      <c r="C100" s="13" t="s">
        <v>129</v>
      </c>
      <c r="D100" s="13" t="str">
        <f>VLOOKUP(C100,RefProd!$A$2:$C$12,2,0)</f>
        <v>Laptop RTY</v>
      </c>
      <c r="E100" s="13" t="str">
        <f>VLOOKUP(C100,RefProd!$A$2:$C$12,3,0)</f>
        <v>Laptop</v>
      </c>
      <c r="F100" s="14">
        <v>46121</v>
      </c>
      <c r="G100" s="15">
        <v>8188004</v>
      </c>
      <c r="H100" s="13" t="s">
        <v>15</v>
      </c>
      <c r="I100" s="16" t="str">
        <f>VLOOKUP(H100,RefRegion!$A$2:$B$5,2,0)</f>
        <v>Jakarta</v>
      </c>
    </row>
    <row r="101" spans="1:9" x14ac:dyDescent="0.25">
      <c r="A101" s="17" t="s">
        <v>113</v>
      </c>
      <c r="B101" s="18" t="s">
        <v>163</v>
      </c>
      <c r="C101" s="18" t="s">
        <v>18</v>
      </c>
      <c r="D101" s="18" t="str">
        <f>VLOOKUP(C101,RefProd!$A$2:$C$12,2,0)</f>
        <v>Laptop XYZ</v>
      </c>
      <c r="E101" s="18" t="str">
        <f>VLOOKUP(C101,RefProd!$A$2:$C$12,3,0)</f>
        <v>Laptop</v>
      </c>
      <c r="F101" s="19">
        <v>46122</v>
      </c>
      <c r="G101" s="20">
        <v>13272482</v>
      </c>
      <c r="H101" s="18" t="s">
        <v>8</v>
      </c>
      <c r="I101" s="21" t="str">
        <f>VLOOKUP(H101,RefRegion!$A$2:$B$5,2,0)</f>
        <v>Medan</v>
      </c>
    </row>
  </sheetData>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1C3D8-1922-434F-A4CB-B63D812391DF}">
  <dimension ref="A3:F9"/>
  <sheetViews>
    <sheetView workbookViewId="0">
      <selection activeCell="O4" sqref="O4"/>
    </sheetView>
  </sheetViews>
  <sheetFormatPr defaultRowHeight="15" x14ac:dyDescent="0.25"/>
  <cols>
    <col min="1" max="1" width="19" customWidth="1"/>
    <col min="2" max="2" width="16.625" customWidth="1"/>
    <col min="3" max="3" width="9.875" customWidth="1"/>
    <col min="4" max="6" width="11.875" customWidth="1"/>
    <col min="8" max="21" width="8"/>
  </cols>
  <sheetData>
    <row r="3" spans="1:6" x14ac:dyDescent="0.25">
      <c r="A3" s="22" t="s">
        <v>188</v>
      </c>
      <c r="B3" s="22" t="s">
        <v>189</v>
      </c>
    </row>
    <row r="4" spans="1:6" x14ac:dyDescent="0.25">
      <c r="A4" s="22" t="s">
        <v>186</v>
      </c>
      <c r="B4" t="s">
        <v>115</v>
      </c>
      <c r="C4" t="s">
        <v>118</v>
      </c>
      <c r="D4" t="s">
        <v>117</v>
      </c>
      <c r="E4" t="s">
        <v>116</v>
      </c>
      <c r="F4" t="s">
        <v>187</v>
      </c>
    </row>
    <row r="5" spans="1:6" x14ac:dyDescent="0.25">
      <c r="A5" s="23" t="s">
        <v>190</v>
      </c>
      <c r="B5" s="24">
        <v>70389012.680000007</v>
      </c>
      <c r="C5" s="24">
        <v>47453938</v>
      </c>
      <c r="D5" s="24">
        <v>97796457.444444448</v>
      </c>
      <c r="E5" s="24">
        <v>61610296.299999997</v>
      </c>
      <c r="F5" s="24">
        <v>277249704.42444444</v>
      </c>
    </row>
    <row r="6" spans="1:6" x14ac:dyDescent="0.25">
      <c r="A6" s="23" t="s">
        <v>191</v>
      </c>
      <c r="B6" s="24">
        <v>59180178</v>
      </c>
      <c r="C6" s="24">
        <v>81622400</v>
      </c>
      <c r="D6" s="24">
        <v>80429553</v>
      </c>
      <c r="E6" s="24">
        <v>99369558</v>
      </c>
      <c r="F6" s="24">
        <v>320601689</v>
      </c>
    </row>
    <row r="7" spans="1:6" x14ac:dyDescent="0.25">
      <c r="A7" s="23" t="s">
        <v>192</v>
      </c>
      <c r="B7" s="24">
        <v>81255893</v>
      </c>
      <c r="C7" s="24">
        <v>90568974</v>
      </c>
      <c r="D7" s="24">
        <v>90797166</v>
      </c>
      <c r="E7" s="24">
        <v>46037751</v>
      </c>
      <c r="F7" s="24">
        <v>308659784</v>
      </c>
    </row>
    <row r="8" spans="1:6" x14ac:dyDescent="0.25">
      <c r="A8" s="23" t="s">
        <v>193</v>
      </c>
      <c r="B8" s="24">
        <v>8188004</v>
      </c>
      <c r="C8" s="24">
        <v>34828955</v>
      </c>
      <c r="D8" s="24">
        <v>68200082</v>
      </c>
      <c r="E8" s="24"/>
      <c r="F8" s="24">
        <v>111217041</v>
      </c>
    </row>
    <row r="9" spans="1:6" x14ac:dyDescent="0.25">
      <c r="A9" s="23" t="s">
        <v>187</v>
      </c>
      <c r="B9" s="24">
        <v>219013087.68000001</v>
      </c>
      <c r="C9" s="24">
        <v>254474267</v>
      </c>
      <c r="D9" s="24">
        <v>337223258.44444442</v>
      </c>
      <c r="E9" s="24">
        <v>207017605.30000001</v>
      </c>
      <c r="F9" s="24">
        <v>1017728218.4244444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EE3D8-7926-4B4C-AF2A-C56284657202}">
  <dimension ref="A3:F10"/>
  <sheetViews>
    <sheetView workbookViewId="0">
      <selection activeCell="O4" sqref="O4"/>
    </sheetView>
  </sheetViews>
  <sheetFormatPr defaultRowHeight="15" x14ac:dyDescent="0.25"/>
  <cols>
    <col min="1" max="1" width="19" customWidth="1"/>
    <col min="2" max="2" width="16.625" customWidth="1"/>
    <col min="3" max="3" width="9.875" customWidth="1"/>
    <col min="4" max="6" width="11.875" customWidth="1"/>
  </cols>
  <sheetData>
    <row r="3" spans="1:6" x14ac:dyDescent="0.25">
      <c r="A3" s="22" t="s">
        <v>188</v>
      </c>
      <c r="B3" s="22" t="s">
        <v>189</v>
      </c>
    </row>
    <row r="4" spans="1:6" x14ac:dyDescent="0.25">
      <c r="A4" s="22" t="s">
        <v>186</v>
      </c>
      <c r="B4" t="s">
        <v>115</v>
      </c>
      <c r="C4" t="s">
        <v>118</v>
      </c>
      <c r="D4" t="s">
        <v>117</v>
      </c>
      <c r="E4" t="s">
        <v>116</v>
      </c>
      <c r="F4" t="s">
        <v>187</v>
      </c>
    </row>
    <row r="5" spans="1:6" x14ac:dyDescent="0.25">
      <c r="A5" s="23" t="s">
        <v>123</v>
      </c>
      <c r="B5" s="24">
        <v>45942431.840000004</v>
      </c>
      <c r="C5" s="24">
        <v>47260591</v>
      </c>
      <c r="D5" s="24">
        <v>50929849</v>
      </c>
      <c r="E5" s="24">
        <v>35435746.149999999</v>
      </c>
      <c r="F5" s="24">
        <v>179568617.99000001</v>
      </c>
    </row>
    <row r="6" spans="1:6" x14ac:dyDescent="0.25">
      <c r="A6" s="23" t="s">
        <v>120</v>
      </c>
      <c r="B6" s="24">
        <v>93835187.840000004</v>
      </c>
      <c r="C6" s="24">
        <v>49802848</v>
      </c>
      <c r="D6" s="24">
        <v>79810467.222222224</v>
      </c>
      <c r="E6" s="24">
        <v>78647476.150000006</v>
      </c>
      <c r="F6" s="24">
        <v>302095979.21222222</v>
      </c>
    </row>
    <row r="7" spans="1:6" x14ac:dyDescent="0.25">
      <c r="A7" s="23" t="s">
        <v>122</v>
      </c>
      <c r="B7" s="24">
        <v>32527050</v>
      </c>
      <c r="C7" s="24">
        <v>76789216</v>
      </c>
      <c r="D7" s="24">
        <v>64629077.222222224</v>
      </c>
      <c r="E7" s="24">
        <v>32252291</v>
      </c>
      <c r="F7" s="24">
        <v>206197634.22222221</v>
      </c>
    </row>
    <row r="8" spans="1:6" x14ac:dyDescent="0.25">
      <c r="A8" s="23" t="s">
        <v>121</v>
      </c>
      <c r="B8" s="24">
        <v>23945996</v>
      </c>
      <c r="C8" s="24">
        <v>36681085</v>
      </c>
      <c r="D8" s="24">
        <v>81405856</v>
      </c>
      <c r="E8" s="24">
        <v>40155644</v>
      </c>
      <c r="F8" s="24">
        <v>182188581</v>
      </c>
    </row>
    <row r="9" spans="1:6" x14ac:dyDescent="0.25">
      <c r="A9" s="23" t="s">
        <v>124</v>
      </c>
      <c r="B9" s="24">
        <v>22762422</v>
      </c>
      <c r="C9" s="24">
        <v>43940527</v>
      </c>
      <c r="D9" s="24">
        <v>60448009</v>
      </c>
      <c r="E9" s="24">
        <v>20526448</v>
      </c>
      <c r="F9" s="24">
        <v>147677406</v>
      </c>
    </row>
    <row r="10" spans="1:6" x14ac:dyDescent="0.25">
      <c r="A10" s="23" t="s">
        <v>187</v>
      </c>
      <c r="B10" s="24">
        <v>219013087.68000001</v>
      </c>
      <c r="C10" s="24">
        <v>254474267</v>
      </c>
      <c r="D10" s="24">
        <v>337223258.44444442</v>
      </c>
      <c r="E10" s="24">
        <v>207017605.30000001</v>
      </c>
      <c r="F10" s="24">
        <v>1017728218.4244444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E5E17-0E49-40A0-8583-83D4A99ECEE3}">
  <dimension ref="A3:B8"/>
  <sheetViews>
    <sheetView workbookViewId="0">
      <selection activeCell="L4" sqref="L4"/>
    </sheetView>
  </sheetViews>
  <sheetFormatPr defaultRowHeight="15" x14ac:dyDescent="0.25"/>
  <cols>
    <col min="1" max="1" width="13.125" customWidth="1"/>
    <col min="2" max="2" width="19" customWidth="1"/>
  </cols>
  <sheetData>
    <row r="3" spans="1:2" x14ac:dyDescent="0.25">
      <c r="A3" s="22" t="s">
        <v>186</v>
      </c>
      <c r="B3" t="s">
        <v>188</v>
      </c>
    </row>
    <row r="4" spans="1:2" x14ac:dyDescent="0.25">
      <c r="A4" s="23" t="s">
        <v>190</v>
      </c>
      <c r="B4" s="24">
        <v>277249704.42444444</v>
      </c>
    </row>
    <row r="5" spans="1:2" x14ac:dyDescent="0.25">
      <c r="A5" s="23" t="s">
        <v>191</v>
      </c>
      <c r="B5" s="24">
        <v>320601689</v>
      </c>
    </row>
    <row r="6" spans="1:2" x14ac:dyDescent="0.25">
      <c r="A6" s="23" t="s">
        <v>192</v>
      </c>
      <c r="B6" s="24">
        <v>308659784</v>
      </c>
    </row>
    <row r="7" spans="1:2" x14ac:dyDescent="0.25">
      <c r="A7" s="23" t="s">
        <v>193</v>
      </c>
      <c r="B7" s="24">
        <v>111217041</v>
      </c>
    </row>
    <row r="8" spans="1:2" x14ac:dyDescent="0.25">
      <c r="A8" s="23" t="s">
        <v>187</v>
      </c>
      <c r="B8" s="24">
        <v>1017728218.4244444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97A98-723D-4971-892A-F361464E9389}">
  <dimension ref="A1:X5"/>
  <sheetViews>
    <sheetView showGridLines="0" showRowColHeaders="0" zoomScale="70" zoomScaleNormal="70" workbookViewId="0">
      <selection activeCell="D6" sqref="D6"/>
    </sheetView>
  </sheetViews>
  <sheetFormatPr defaultRowHeight="15" x14ac:dyDescent="0.25"/>
  <cols>
    <col min="1" max="16384" width="9" style="25"/>
  </cols>
  <sheetData>
    <row r="1" spans="1:24" x14ac:dyDescent="0.25">
      <c r="A1" s="26" t="s">
        <v>194</v>
      </c>
      <c r="B1" s="27"/>
      <c r="C1" s="27"/>
      <c r="D1" s="27"/>
      <c r="E1" s="27"/>
      <c r="F1" s="27"/>
      <c r="G1" s="27"/>
      <c r="H1" s="27"/>
      <c r="I1" s="27"/>
      <c r="J1" s="27"/>
      <c r="K1" s="27"/>
      <c r="L1" s="27"/>
      <c r="M1" s="27"/>
      <c r="N1" s="27"/>
      <c r="O1" s="27"/>
      <c r="P1" s="27"/>
      <c r="Q1" s="27"/>
      <c r="R1" s="27"/>
      <c r="S1" s="27"/>
      <c r="T1" s="27"/>
      <c r="U1" s="27"/>
      <c r="V1" s="27"/>
      <c r="W1" s="27"/>
      <c r="X1" s="27"/>
    </row>
    <row r="2" spans="1:24" x14ac:dyDescent="0.25">
      <c r="A2" s="27"/>
      <c r="B2" s="27"/>
      <c r="C2" s="27"/>
      <c r="D2" s="27"/>
      <c r="E2" s="27"/>
      <c r="F2" s="27"/>
      <c r="G2" s="27"/>
      <c r="H2" s="27"/>
      <c r="I2" s="27"/>
      <c r="J2" s="27"/>
      <c r="K2" s="27"/>
      <c r="L2" s="27"/>
      <c r="M2" s="27"/>
      <c r="N2" s="27"/>
      <c r="O2" s="27"/>
      <c r="P2" s="27"/>
      <c r="Q2" s="27"/>
      <c r="R2" s="27"/>
      <c r="S2" s="27"/>
      <c r="T2" s="27"/>
      <c r="U2" s="27"/>
      <c r="V2" s="27"/>
      <c r="W2" s="27"/>
      <c r="X2" s="27"/>
    </row>
    <row r="3" spans="1:24" x14ac:dyDescent="0.25">
      <c r="A3" s="27"/>
      <c r="B3" s="27"/>
      <c r="C3" s="27"/>
      <c r="D3" s="27"/>
      <c r="E3" s="27"/>
      <c r="F3" s="27"/>
      <c r="G3" s="27"/>
      <c r="H3" s="27"/>
      <c r="I3" s="27"/>
      <c r="J3" s="27"/>
      <c r="K3" s="27"/>
      <c r="L3" s="27"/>
      <c r="M3" s="27"/>
      <c r="N3" s="27"/>
      <c r="O3" s="27"/>
      <c r="P3" s="27"/>
      <c r="Q3" s="27"/>
      <c r="R3" s="27"/>
      <c r="S3" s="27"/>
      <c r="T3" s="27"/>
      <c r="U3" s="27"/>
      <c r="V3" s="27"/>
      <c r="W3" s="27"/>
      <c r="X3" s="27"/>
    </row>
    <row r="4" spans="1:24" x14ac:dyDescent="0.25">
      <c r="A4" s="27"/>
      <c r="B4" s="27"/>
      <c r="C4" s="27"/>
      <c r="D4" s="27"/>
      <c r="E4" s="27"/>
      <c r="F4" s="27"/>
      <c r="G4" s="27"/>
      <c r="H4" s="27"/>
      <c r="I4" s="27"/>
      <c r="J4" s="27"/>
      <c r="K4" s="27"/>
      <c r="L4" s="27"/>
      <c r="M4" s="27"/>
      <c r="N4" s="27"/>
      <c r="O4" s="27"/>
      <c r="P4" s="27"/>
      <c r="Q4" s="27"/>
      <c r="R4" s="27"/>
      <c r="S4" s="27"/>
      <c r="T4" s="27"/>
      <c r="U4" s="27"/>
      <c r="V4" s="27"/>
      <c r="W4" s="27"/>
      <c r="X4" s="27"/>
    </row>
    <row r="5" spans="1:24" x14ac:dyDescent="0.25">
      <c r="A5" s="27"/>
      <c r="B5" s="27"/>
      <c r="C5" s="27"/>
      <c r="D5" s="27"/>
      <c r="E5" s="27"/>
      <c r="F5" s="27"/>
      <c r="G5" s="27"/>
      <c r="H5" s="27"/>
      <c r="I5" s="27"/>
      <c r="J5" s="27"/>
      <c r="K5" s="27"/>
      <c r="L5" s="27"/>
      <c r="M5" s="27"/>
      <c r="N5" s="27"/>
      <c r="O5" s="27"/>
      <c r="P5" s="27"/>
      <c r="Q5" s="27"/>
      <c r="R5" s="27"/>
      <c r="S5" s="27"/>
      <c r="T5" s="27"/>
      <c r="U5" s="27"/>
      <c r="V5" s="27"/>
      <c r="W5" s="27"/>
      <c r="X5" s="27"/>
    </row>
  </sheetData>
  <mergeCells count="1">
    <mergeCell ref="A1:X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C1621-DE08-4063-A61F-75AD614310E9}">
  <dimension ref="B2:B53"/>
  <sheetViews>
    <sheetView tabSelected="1" workbookViewId="0">
      <selection activeCell="B49" sqref="B49"/>
    </sheetView>
  </sheetViews>
  <sheetFormatPr defaultRowHeight="15" x14ac:dyDescent="0.25"/>
  <sheetData>
    <row r="2" spans="2:2" x14ac:dyDescent="0.25">
      <c r="B2" t="s">
        <v>125</v>
      </c>
    </row>
    <row r="3" spans="2:2" x14ac:dyDescent="0.25">
      <c r="B3" t="s">
        <v>126</v>
      </c>
    </row>
    <row r="4" spans="2:2" x14ac:dyDescent="0.25">
      <c r="B4" t="s">
        <v>148</v>
      </c>
    </row>
    <row r="5" spans="2:2" x14ac:dyDescent="0.25">
      <c r="B5" t="s">
        <v>149</v>
      </c>
    </row>
    <row r="7" spans="2:2" x14ac:dyDescent="0.25">
      <c r="B7" t="s">
        <v>150</v>
      </c>
    </row>
    <row r="8" spans="2:2" x14ac:dyDescent="0.25">
      <c r="B8" t="s">
        <v>151</v>
      </c>
    </row>
    <row r="9" spans="2:2" x14ac:dyDescent="0.25">
      <c r="B9" s="28" t="s">
        <v>152</v>
      </c>
    </row>
    <row r="10" spans="2:2" x14ac:dyDescent="0.25">
      <c r="B10" s="28" t="s">
        <v>153</v>
      </c>
    </row>
    <row r="11" spans="2:2" x14ac:dyDescent="0.25">
      <c r="B11" s="28" t="s">
        <v>154</v>
      </c>
    </row>
    <row r="12" spans="2:2" x14ac:dyDescent="0.25">
      <c r="B12" s="28" t="s">
        <v>155</v>
      </c>
    </row>
    <row r="13" spans="2:2" x14ac:dyDescent="0.25">
      <c r="B13" t="s">
        <v>157</v>
      </c>
    </row>
    <row r="14" spans="2:2" x14ac:dyDescent="0.25">
      <c r="B14" s="28" t="s">
        <v>152</v>
      </c>
    </row>
    <row r="15" spans="2:2" x14ac:dyDescent="0.25">
      <c r="B15" s="28" t="s">
        <v>158</v>
      </c>
    </row>
    <row r="16" spans="2:2" x14ac:dyDescent="0.25">
      <c r="B16" s="29" t="s">
        <v>159</v>
      </c>
    </row>
    <row r="17" spans="2:2" x14ac:dyDescent="0.25">
      <c r="B17" s="29" t="s">
        <v>160</v>
      </c>
    </row>
    <row r="18" spans="2:2" x14ac:dyDescent="0.25">
      <c r="B18" s="28" t="s">
        <v>154</v>
      </c>
    </row>
    <row r="19" spans="2:2" x14ac:dyDescent="0.25">
      <c r="B19" s="28" t="s">
        <v>204</v>
      </c>
    </row>
    <row r="20" spans="2:2" x14ac:dyDescent="0.25">
      <c r="B20" t="s">
        <v>166</v>
      </c>
    </row>
    <row r="21" spans="2:2" x14ac:dyDescent="0.25">
      <c r="B21" s="28" t="s">
        <v>152</v>
      </c>
    </row>
    <row r="22" spans="2:2" x14ac:dyDescent="0.25">
      <c r="B22" s="28" t="s">
        <v>167</v>
      </c>
    </row>
    <row r="23" spans="2:2" x14ac:dyDescent="0.25">
      <c r="B23" s="28" t="s">
        <v>154</v>
      </c>
    </row>
    <row r="24" spans="2:2" x14ac:dyDescent="0.25">
      <c r="B24" s="28" t="s">
        <v>155</v>
      </c>
    </row>
    <row r="25" spans="2:2" x14ac:dyDescent="0.25">
      <c r="B25" t="s">
        <v>168</v>
      </c>
    </row>
    <row r="26" spans="2:2" x14ac:dyDescent="0.25">
      <c r="B26" s="28" t="s">
        <v>169</v>
      </c>
    </row>
    <row r="27" spans="2:2" x14ac:dyDescent="0.25">
      <c r="B27" s="28" t="s">
        <v>170</v>
      </c>
    </row>
    <row r="28" spans="2:2" x14ac:dyDescent="0.25">
      <c r="B28" t="s">
        <v>171</v>
      </c>
    </row>
    <row r="29" spans="2:2" x14ac:dyDescent="0.25">
      <c r="B29" s="28" t="s">
        <v>172</v>
      </c>
    </row>
    <row r="30" spans="2:2" x14ac:dyDescent="0.25">
      <c r="B30" s="28" t="s">
        <v>173</v>
      </c>
    </row>
    <row r="31" spans="2:2" x14ac:dyDescent="0.25">
      <c r="B31" t="s">
        <v>174</v>
      </c>
    </row>
    <row r="33" spans="2:2" x14ac:dyDescent="0.25">
      <c r="B33" t="s">
        <v>175</v>
      </c>
    </row>
    <row r="34" spans="2:2" x14ac:dyDescent="0.25">
      <c r="B34" t="s">
        <v>177</v>
      </c>
    </row>
    <row r="35" spans="2:2" x14ac:dyDescent="0.25">
      <c r="B35" s="28" t="s">
        <v>178</v>
      </c>
    </row>
    <row r="36" spans="2:2" x14ac:dyDescent="0.25">
      <c r="B36" s="28" t="s">
        <v>179</v>
      </c>
    </row>
    <row r="37" spans="2:2" x14ac:dyDescent="0.25">
      <c r="B37" t="s">
        <v>180</v>
      </c>
    </row>
    <row r="38" spans="2:2" x14ac:dyDescent="0.25">
      <c r="B38" s="28" t="s">
        <v>181</v>
      </c>
    </row>
    <row r="39" spans="2:2" x14ac:dyDescent="0.25">
      <c r="B39" s="28" t="s">
        <v>205</v>
      </c>
    </row>
    <row r="40" spans="2:2" x14ac:dyDescent="0.25">
      <c r="B40" t="s">
        <v>183</v>
      </c>
    </row>
    <row r="41" spans="2:2" x14ac:dyDescent="0.25">
      <c r="B41" s="28" t="s">
        <v>184</v>
      </c>
    </row>
    <row r="42" spans="2:2" x14ac:dyDescent="0.25">
      <c r="B42" s="28" t="s">
        <v>206</v>
      </c>
    </row>
    <row r="43" spans="2:2" x14ac:dyDescent="0.25">
      <c r="B43" t="s">
        <v>185</v>
      </c>
    </row>
    <row r="45" spans="2:2" x14ac:dyDescent="0.25">
      <c r="B45" t="s">
        <v>195</v>
      </c>
    </row>
    <row r="46" spans="2:2" x14ac:dyDescent="0.25">
      <c r="B46" t="s">
        <v>196</v>
      </c>
    </row>
    <row r="47" spans="2:2" x14ac:dyDescent="0.25">
      <c r="B47" s="28" t="s">
        <v>197</v>
      </c>
    </row>
    <row r="48" spans="2:2" x14ac:dyDescent="0.25">
      <c r="B48" s="28" t="s">
        <v>198</v>
      </c>
    </row>
    <row r="49" spans="2:2" x14ac:dyDescent="0.25">
      <c r="B49" s="28" t="s">
        <v>199</v>
      </c>
    </row>
    <row r="50" spans="2:2" x14ac:dyDescent="0.25">
      <c r="B50" t="s">
        <v>200</v>
      </c>
    </row>
    <row r="51" spans="2:2" x14ac:dyDescent="0.25">
      <c r="B51" t="s">
        <v>201</v>
      </c>
    </row>
    <row r="52" spans="2:2" x14ac:dyDescent="0.25">
      <c r="B52" t="s">
        <v>202</v>
      </c>
    </row>
    <row r="53" spans="2:2" x14ac:dyDescent="0.25">
      <c r="B53" t="s">
        <v>203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0AA3B-ED64-4FD6-9083-D6EA962C3F1B}">
  <dimension ref="A1:C12"/>
  <sheetViews>
    <sheetView workbookViewId="0">
      <selection activeCell="O4" sqref="O4"/>
    </sheetView>
  </sheetViews>
  <sheetFormatPr defaultRowHeight="15" x14ac:dyDescent="0.25"/>
  <cols>
    <col min="1" max="1" width="13.5" customWidth="1"/>
    <col min="2" max="2" width="20" customWidth="1"/>
    <col min="3" max="3" width="9.375" customWidth="1"/>
  </cols>
  <sheetData>
    <row r="1" spans="1:3" x14ac:dyDescent="0.25">
      <c r="A1" s="4" t="s">
        <v>2</v>
      </c>
      <c r="B1" s="4" t="s">
        <v>119</v>
      </c>
      <c r="C1" s="4" t="s">
        <v>136</v>
      </c>
    </row>
    <row r="2" spans="1:3" x14ac:dyDescent="0.25">
      <c r="A2" s="2" t="s">
        <v>18</v>
      </c>
      <c r="B2" s="2" t="s">
        <v>137</v>
      </c>
      <c r="C2" s="2" t="s">
        <v>120</v>
      </c>
    </row>
    <row r="3" spans="1:3" x14ac:dyDescent="0.25">
      <c r="A3" s="2" t="s">
        <v>129</v>
      </c>
      <c r="B3" s="2" t="s">
        <v>138</v>
      </c>
      <c r="C3" s="2" t="s">
        <v>120</v>
      </c>
    </row>
    <row r="4" spans="1:3" x14ac:dyDescent="0.25">
      <c r="A4" s="2" t="s">
        <v>130</v>
      </c>
      <c r="B4" s="2" t="s">
        <v>139</v>
      </c>
      <c r="C4" s="2" t="s">
        <v>120</v>
      </c>
    </row>
    <row r="5" spans="1:3" x14ac:dyDescent="0.25">
      <c r="A5" s="2" t="s">
        <v>135</v>
      </c>
      <c r="B5" s="2" t="s">
        <v>140</v>
      </c>
      <c r="C5" s="2" t="s">
        <v>121</v>
      </c>
    </row>
    <row r="6" spans="1:3" x14ac:dyDescent="0.25">
      <c r="A6" s="2" t="s">
        <v>23</v>
      </c>
      <c r="B6" s="2" t="s">
        <v>141</v>
      </c>
      <c r="C6" s="2" t="s">
        <v>121</v>
      </c>
    </row>
    <row r="7" spans="1:3" x14ac:dyDescent="0.25">
      <c r="A7" s="2" t="s">
        <v>134</v>
      </c>
      <c r="B7" s="2" t="s">
        <v>142</v>
      </c>
      <c r="C7" s="2" t="s">
        <v>122</v>
      </c>
    </row>
    <row r="8" spans="1:3" x14ac:dyDescent="0.25">
      <c r="A8" s="2" t="s">
        <v>127</v>
      </c>
      <c r="B8" s="2" t="s">
        <v>143</v>
      </c>
      <c r="C8" s="2" t="s">
        <v>122</v>
      </c>
    </row>
    <row r="9" spans="1:3" x14ac:dyDescent="0.25">
      <c r="A9" s="2" t="s">
        <v>131</v>
      </c>
      <c r="B9" s="2" t="s">
        <v>144</v>
      </c>
      <c r="C9" s="2" t="s">
        <v>123</v>
      </c>
    </row>
    <row r="10" spans="1:3" x14ac:dyDescent="0.25">
      <c r="A10" s="2" t="s">
        <v>128</v>
      </c>
      <c r="B10" s="2" t="s">
        <v>145</v>
      </c>
      <c r="C10" s="2" t="s">
        <v>123</v>
      </c>
    </row>
    <row r="11" spans="1:3" x14ac:dyDescent="0.25">
      <c r="A11" s="2" t="s">
        <v>132</v>
      </c>
      <c r="B11" s="2" t="s">
        <v>146</v>
      </c>
      <c r="C11" s="2" t="s">
        <v>124</v>
      </c>
    </row>
    <row r="12" spans="1:3" x14ac:dyDescent="0.25">
      <c r="A12" s="2" t="s">
        <v>133</v>
      </c>
      <c r="B12" s="2" t="s">
        <v>147</v>
      </c>
      <c r="C12" s="2" t="s">
        <v>124</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O4" sqref="O4"/>
    </sheetView>
  </sheetViews>
  <sheetFormatPr defaultRowHeight="15" x14ac:dyDescent="0.25"/>
  <cols>
    <col min="1" max="1" width="12.625" customWidth="1"/>
    <col min="2" max="2" width="13.5" customWidth="1"/>
  </cols>
  <sheetData>
    <row r="1" spans="1:2" x14ac:dyDescent="0.25">
      <c r="A1" s="1" t="s">
        <v>5</v>
      </c>
      <c r="B1" s="1" t="s">
        <v>114</v>
      </c>
    </row>
    <row r="2" spans="1:2" x14ac:dyDescent="0.25">
      <c r="A2" s="2" t="s">
        <v>15</v>
      </c>
      <c r="B2" s="2" t="s">
        <v>115</v>
      </c>
    </row>
    <row r="3" spans="1:2" x14ac:dyDescent="0.25">
      <c r="A3" s="2" t="s">
        <v>11</v>
      </c>
      <c r="B3" s="2" t="s">
        <v>116</v>
      </c>
    </row>
    <row r="4" spans="1:2" x14ac:dyDescent="0.25">
      <c r="A4" s="2" t="s">
        <v>8</v>
      </c>
      <c r="B4" s="2" t="s">
        <v>117</v>
      </c>
    </row>
    <row r="5" spans="1:2" x14ac:dyDescent="0.25">
      <c r="A5" s="2" t="s">
        <v>21</v>
      </c>
      <c r="B5" s="2"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DataRaw</vt:lpstr>
      <vt:lpstr>DataCleaning</vt:lpstr>
      <vt:lpstr>DataEnrichment</vt:lpstr>
      <vt:lpstr>PRegion&amp;Date</vt:lpstr>
      <vt:lpstr>PRegion&amp;Product</vt:lpstr>
      <vt:lpstr>PDate</vt:lpstr>
      <vt:lpstr>Dashboard</vt:lpstr>
      <vt:lpstr>AlurKerja</vt:lpstr>
      <vt:lpstr>RefProd</vt:lpstr>
      <vt:lpstr>RefRegion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LATITUDE</cp:lastModifiedBy>
  <dcterms:created xsi:type="dcterms:W3CDTF">2026-05-24T01:53:08Z</dcterms:created>
  <dcterms:modified xsi:type="dcterms:W3CDTF">2026-05-25T01:05:25Z</dcterms:modified>
</cp:coreProperties>
</file>