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TITUDE\Downloads\"/>
    </mc:Choice>
  </mc:AlternateContent>
  <xr:revisionPtr revIDLastSave="0" documentId="13_ncr:1_{3EDA43E9-42E5-4D89-910C-05C8EE69602B}" xr6:coauthVersionLast="37" xr6:coauthVersionMax="37" xr10:uidLastSave="{00000000-0000-0000-0000-000000000000}"/>
  <bookViews>
    <workbookView xWindow="1950" yWindow="0" windowWidth="18225" windowHeight="7410" activeTab="4" xr2:uid="{00000000-000D-0000-FFFF-FFFF00000000}"/>
  </bookViews>
  <sheets>
    <sheet name="DataRaw" sheetId="1" r:id="rId1"/>
    <sheet name="DataStatus" sheetId="2" r:id="rId2"/>
    <sheet name="DataCndFrmt" sheetId="4" r:id="rId3"/>
    <sheet name="DataResume" sheetId="6" r:id="rId4"/>
    <sheet name="Penjelasan" sheetId="3" r:id="rId5"/>
  </sheets>
  <calcPr calcId="162913"/>
</workbook>
</file>

<file path=xl/calcChain.xml><?xml version="1.0" encoding="utf-8"?>
<calcChain xmlns="http://schemas.openxmlformats.org/spreadsheetml/2006/main">
  <c r="F2" i="2" l="1"/>
  <c r="J5" i="6"/>
  <c r="J4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F51" i="4" l="1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</calcChain>
</file>

<file path=xl/sharedStrings.xml><?xml version="1.0" encoding="utf-8"?>
<sst xmlns="http://schemas.openxmlformats.org/spreadsheetml/2006/main" count="460" uniqueCount="126">
  <si>
    <t>Product_Name</t>
  </si>
  <si>
    <t>Category</t>
  </si>
  <si>
    <t>Current_Stock</t>
  </si>
  <si>
    <t>Min_Stock_Limit</t>
  </si>
  <si>
    <t>Unit_Price</t>
  </si>
  <si>
    <t>Deterjen 1kg 0</t>
  </si>
  <si>
    <t>Jus Buah 1</t>
  </si>
  <si>
    <t>Biskuit 2</t>
  </si>
  <si>
    <t>Sabun Cuci Muka 3</t>
  </si>
  <si>
    <t>Jus Buah 4</t>
  </si>
  <si>
    <t>Tepung 1kg 5</t>
  </si>
  <si>
    <t>Permen 6</t>
  </si>
  <si>
    <t>Cokelat 7</t>
  </si>
  <si>
    <t>Keripik 8</t>
  </si>
  <si>
    <t>Gula 1kg 9</t>
  </si>
  <si>
    <t>Sikat Gigi 10</t>
  </si>
  <si>
    <t>Permen 11</t>
  </si>
  <si>
    <t>Pencuci Piring 12</t>
  </si>
  <si>
    <t>Gula 1kg 13</t>
  </si>
  <si>
    <t>Biskuit 14</t>
  </si>
  <si>
    <t>Minyak 2L 15</t>
  </si>
  <si>
    <t>Susu UHT 16</t>
  </si>
  <si>
    <t>Permen 17</t>
  </si>
  <si>
    <t>Minyak 2L 18</t>
  </si>
  <si>
    <t>Pencuci Piring 19</t>
  </si>
  <si>
    <t>Tisu 20</t>
  </si>
  <si>
    <t>Permen 21</t>
  </si>
  <si>
    <t>Sikat Gigi 22</t>
  </si>
  <si>
    <t>Telur 1kg 23</t>
  </si>
  <si>
    <t>Sabun Cuci Muka 24</t>
  </si>
  <si>
    <t>Tepung 1kg 25</t>
  </si>
  <si>
    <t>Permen 26</t>
  </si>
  <si>
    <t>Shampoo 27</t>
  </si>
  <si>
    <t>Deterjen 1kg 28</t>
  </si>
  <si>
    <t>Beras 5kg 29</t>
  </si>
  <si>
    <t>Beras 5kg 30</t>
  </si>
  <si>
    <t>Sabun Cuci Muka 31</t>
  </si>
  <si>
    <t>Pembersih Lantai 32</t>
  </si>
  <si>
    <t>Jus Buah 33</t>
  </si>
  <si>
    <t>Telur 1kg 34</t>
  </si>
  <si>
    <t>Spons 35</t>
  </si>
  <si>
    <t>Spons 36</t>
  </si>
  <si>
    <t>Telur 1kg 37</t>
  </si>
  <si>
    <t>Biskuit 38</t>
  </si>
  <si>
    <t>Jus Buah 39</t>
  </si>
  <si>
    <t>Kacang 40</t>
  </si>
  <si>
    <t>Teh Kotak 41</t>
  </si>
  <si>
    <t>Kacang 42</t>
  </si>
  <si>
    <t>Pembersih Lantai 43</t>
  </si>
  <si>
    <t>Biskuit 44</t>
  </si>
  <si>
    <t>Jus Buah 45</t>
  </si>
  <si>
    <t>Biskuit 46</t>
  </si>
  <si>
    <t>Susu UHT 47</t>
  </si>
  <si>
    <t>Sabun Mandi 48</t>
  </si>
  <si>
    <t>Pembersih Lantai 49</t>
  </si>
  <si>
    <t>Cleaning</t>
  </si>
  <si>
    <t>Minuman</t>
  </si>
  <si>
    <t>Snack</t>
  </si>
  <si>
    <t>Toiletries</t>
  </si>
  <si>
    <t>Sembako</t>
  </si>
  <si>
    <t>Deterjen 1kg</t>
  </si>
  <si>
    <t>Jus Buah</t>
  </si>
  <si>
    <t>Biskuit</t>
  </si>
  <si>
    <t>Sabun Cuci Muka</t>
  </si>
  <si>
    <t>Tepung 1kg</t>
  </si>
  <si>
    <t>Permen</t>
  </si>
  <si>
    <t>Cokelat</t>
  </si>
  <si>
    <t>Keripik</t>
  </si>
  <si>
    <t>Gula 1kg</t>
  </si>
  <si>
    <t xml:space="preserve">Sikat Gigi </t>
  </si>
  <si>
    <t xml:space="preserve">Permen </t>
  </si>
  <si>
    <t xml:space="preserve">Pencuci Piring </t>
  </si>
  <si>
    <t xml:space="preserve">Gula 1kg </t>
  </si>
  <si>
    <t xml:space="preserve">Biskuit </t>
  </si>
  <si>
    <t xml:space="preserve">Minyak 2L </t>
  </si>
  <si>
    <t xml:space="preserve">Susu UHT </t>
  </si>
  <si>
    <t xml:space="preserve">Tisu </t>
  </si>
  <si>
    <t xml:space="preserve">Telur 1kg </t>
  </si>
  <si>
    <t xml:space="preserve">Sabun Cuci Muka </t>
  </si>
  <si>
    <t xml:space="preserve">Tepung 1kg </t>
  </si>
  <si>
    <t xml:space="preserve">Shampoo </t>
  </si>
  <si>
    <t xml:space="preserve">Deterjen 1kg </t>
  </si>
  <si>
    <t xml:space="preserve">Beras 5kg </t>
  </si>
  <si>
    <t xml:space="preserve">Pembersih Lantai </t>
  </si>
  <si>
    <t xml:space="preserve">Jus Buah </t>
  </si>
  <si>
    <t xml:space="preserve">Spons </t>
  </si>
  <si>
    <t xml:space="preserve">Kacang </t>
  </si>
  <si>
    <t xml:space="preserve">Teh Kotak </t>
  </si>
  <si>
    <t xml:space="preserve">Sabun Mandi </t>
  </si>
  <si>
    <t>Status_Stock</t>
  </si>
  <si>
    <t>Alur kerja:</t>
  </si>
  <si>
    <t>1. Data cleaning (sesuaikan data)</t>
  </si>
  <si>
    <t>2. Tambah status</t>
  </si>
  <si>
    <t>4. Ringkasan</t>
  </si>
  <si>
    <t>Data cleaning:</t>
  </si>
  <si>
    <t>1. hapus satu angka terakhir pada nama product:</t>
  </si>
  <si>
    <t>a. gunakan left untuk mengambil semua karakter dari kiri sejumlah</t>
  </si>
  <si>
    <t>panjang karakter cell nama produk dikurangi 2 karakter yang ingin dihapus</t>
  </si>
  <si>
    <t>beserta karakter spasinya `=left(cellNamaP;len(cellNamaP)-2)</t>
  </si>
  <si>
    <t>Tambah status</t>
  </si>
  <si>
    <t>1. tambah kolom baru di paling kanan dengan nama status stock</t>
  </si>
  <si>
    <t>2. gunakan function if untuk menentukan jika stok =  0 maka out of stock</t>
  </si>
  <si>
    <t>jika stok &lt; limit stok maka reorder dan jika stok &gt; limit stok*5 maka overstock</t>
  </si>
  <si>
    <t>tambah conditional formatting</t>
  </si>
  <si>
    <t>1. pilih range yang akan dilakukan conditional formatting</t>
  </si>
  <si>
    <t>2. pada tab home bagian styles pilih conditional formatting</t>
  </si>
  <si>
    <t>Reorder</t>
  </si>
  <si>
    <t>Overstock</t>
  </si>
  <si>
    <t>Jumlah produk yang perlu disesuaikan</t>
  </si>
  <si>
    <t>3. Tambah conditional formatting</t>
  </si>
  <si>
    <t xml:space="preserve">jika menggunakan ifs maka </t>
  </si>
  <si>
    <t>`=ifs(cellStok=0;"out of stock";cellStok&lt;cellLimitStock:"reorder";cellStok&gt;cellLimit*5;"overstock";TRUE;"normal")</t>
  </si>
  <si>
    <t>jika menggunakan nested if maka</t>
  </si>
  <si>
    <t>`=IF(cellStok&gt;0;IF(cellStok&gt;=cellLimitStock;IF(cellStok&lt;cellLimitStock*5;"NORMAL";"OVERSTOCK");"REORDER");"OUT OF STOCK")</t>
  </si>
  <si>
    <t>3. pilih highlight cell rules, pilih equal to</t>
  </si>
  <si>
    <t>4. isi nilai yang digunakan dan pilih format yang sesuai, jika tidak ada yang cocok maka pilih custom format</t>
  </si>
  <si>
    <t>tambah resume</t>
  </si>
  <si>
    <t>1. tampilkan jumlah produk dengan status reorder:</t>
  </si>
  <si>
    <t>a. pilih range status</t>
  </si>
  <si>
    <t>b. `=countif(cellStatusAwal:cellStatusAkhir;reorder)</t>
  </si>
  <si>
    <t>2. tampilkan jumlah produk dengan status overstock:</t>
  </si>
  <si>
    <t>b. `=countif(cellStatusAwal:cellStatusAkhir;overstock)</t>
  </si>
  <si>
    <t>3. format cell agar selalu menambahkan text 'produk' di belakang nilai numeriknya:</t>
  </si>
  <si>
    <t>a. pilih cell</t>
  </si>
  <si>
    <t>b. pada tab home bagian number pilih custom sebagai formatnya</t>
  </si>
  <si>
    <t>c. gunakan format #0 "produk"(1 digit atau lebih dari itu, jika tidak ada maka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</si>
</sst>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0\ &quot;produk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3" fontId="0" fillId="0" borderId="1" xfId="0" applyNumberFormat="1" applyBorder="1"/>
    <xf numFmtId="0" fontId="1" fillId="0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left"/>
    </xf>
    <xf numFmtId="165" fontId="0" fillId="0" borderId="1" xfId="0" applyNumberFormat="1" applyBorder="1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6">
    <dxf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workbookViewId="0">
      <selection activeCell="B1" sqref="B1:B1048576"/>
    </sheetView>
  </sheetViews>
  <sheetFormatPr defaultRowHeight="15" x14ac:dyDescent="0.25"/>
  <cols>
    <col min="1" max="1" width="19" bestFit="1" customWidth="1"/>
    <col min="2" max="2" width="9.42578125" bestFit="1" customWidth="1"/>
    <col min="3" max="3" width="13.5703125" bestFit="1" customWidth="1"/>
    <col min="4" max="4" width="15.85546875" bestFit="1" customWidth="1"/>
    <col min="5" max="5" width="10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55</v>
      </c>
      <c r="C2" s="2">
        <v>1</v>
      </c>
      <c r="D2" s="2">
        <v>21</v>
      </c>
      <c r="E2" s="3">
        <v>18757</v>
      </c>
    </row>
    <row r="3" spans="1:5" x14ac:dyDescent="0.25">
      <c r="A3" s="2" t="s">
        <v>6</v>
      </c>
      <c r="B3" s="2" t="s">
        <v>56</v>
      </c>
      <c r="C3" s="2">
        <v>88</v>
      </c>
      <c r="D3" s="2">
        <v>33</v>
      </c>
      <c r="E3" s="3">
        <v>25895</v>
      </c>
    </row>
    <row r="4" spans="1:5" x14ac:dyDescent="0.25">
      <c r="A4" s="2" t="s">
        <v>7</v>
      </c>
      <c r="B4" s="2" t="s">
        <v>57</v>
      </c>
      <c r="C4" s="2">
        <v>132</v>
      </c>
      <c r="D4" s="2">
        <v>20</v>
      </c>
      <c r="E4" s="3">
        <v>95738</v>
      </c>
    </row>
    <row r="5" spans="1:5" x14ac:dyDescent="0.25">
      <c r="A5" s="2" t="s">
        <v>8</v>
      </c>
      <c r="B5" s="2" t="s">
        <v>58</v>
      </c>
      <c r="C5" s="2">
        <v>17</v>
      </c>
      <c r="D5" s="2">
        <v>20</v>
      </c>
      <c r="E5" s="3">
        <v>11826</v>
      </c>
    </row>
    <row r="6" spans="1:5" x14ac:dyDescent="0.25">
      <c r="A6" s="2" t="s">
        <v>9</v>
      </c>
      <c r="B6" s="2" t="s">
        <v>56</v>
      </c>
      <c r="C6" s="2">
        <v>137</v>
      </c>
      <c r="D6" s="2">
        <v>32</v>
      </c>
      <c r="E6" s="3">
        <v>24543</v>
      </c>
    </row>
    <row r="7" spans="1:5" x14ac:dyDescent="0.25">
      <c r="A7" s="2" t="s">
        <v>10</v>
      </c>
      <c r="B7" s="2" t="s">
        <v>59</v>
      </c>
      <c r="C7" s="2">
        <v>8</v>
      </c>
      <c r="D7" s="2">
        <v>15</v>
      </c>
      <c r="E7" s="3">
        <v>89703</v>
      </c>
    </row>
    <row r="8" spans="1:5" x14ac:dyDescent="0.25">
      <c r="A8" s="2" t="s">
        <v>11</v>
      </c>
      <c r="B8" s="2" t="s">
        <v>57</v>
      </c>
      <c r="C8" s="2">
        <v>17</v>
      </c>
      <c r="D8" s="2">
        <v>17</v>
      </c>
      <c r="E8" s="3">
        <v>45668</v>
      </c>
    </row>
    <row r="9" spans="1:5" x14ac:dyDescent="0.25">
      <c r="A9" s="2" t="s">
        <v>12</v>
      </c>
      <c r="B9" s="2" t="s">
        <v>57</v>
      </c>
      <c r="C9" s="2">
        <v>50</v>
      </c>
      <c r="D9" s="2">
        <v>46</v>
      </c>
      <c r="E9" s="3">
        <v>66783</v>
      </c>
    </row>
    <row r="10" spans="1:5" x14ac:dyDescent="0.25">
      <c r="A10" s="2" t="s">
        <v>13</v>
      </c>
      <c r="B10" s="2" t="s">
        <v>57</v>
      </c>
      <c r="C10" s="2">
        <v>103</v>
      </c>
      <c r="D10" s="2">
        <v>19</v>
      </c>
      <c r="E10" s="3">
        <v>16218</v>
      </c>
    </row>
    <row r="11" spans="1:5" x14ac:dyDescent="0.25">
      <c r="A11" s="2" t="s">
        <v>14</v>
      </c>
      <c r="B11" s="2" t="s">
        <v>59</v>
      </c>
      <c r="C11" s="2">
        <v>3</v>
      </c>
      <c r="D11" s="2">
        <v>35</v>
      </c>
      <c r="E11" s="3">
        <v>53678</v>
      </c>
    </row>
    <row r="12" spans="1:5" x14ac:dyDescent="0.25">
      <c r="A12" s="2" t="s">
        <v>15</v>
      </c>
      <c r="B12" s="2" t="s">
        <v>58</v>
      </c>
      <c r="C12" s="2">
        <v>100</v>
      </c>
      <c r="D12" s="2">
        <v>33</v>
      </c>
      <c r="E12" s="3">
        <v>19886</v>
      </c>
    </row>
    <row r="13" spans="1:5" x14ac:dyDescent="0.25">
      <c r="A13" s="2" t="s">
        <v>16</v>
      </c>
      <c r="B13" s="2" t="s">
        <v>57</v>
      </c>
      <c r="C13" s="2">
        <v>119</v>
      </c>
      <c r="D13" s="2">
        <v>20</v>
      </c>
      <c r="E13" s="3">
        <v>54260</v>
      </c>
    </row>
    <row r="14" spans="1:5" x14ac:dyDescent="0.25">
      <c r="A14" s="2" t="s">
        <v>17</v>
      </c>
      <c r="B14" s="2" t="s">
        <v>55</v>
      </c>
      <c r="C14" s="2">
        <v>1</v>
      </c>
      <c r="D14" s="2">
        <v>45</v>
      </c>
      <c r="E14" s="3">
        <v>73204</v>
      </c>
    </row>
    <row r="15" spans="1:5" x14ac:dyDescent="0.25">
      <c r="A15" s="2" t="s">
        <v>18</v>
      </c>
      <c r="B15" s="2" t="s">
        <v>59</v>
      </c>
      <c r="C15" s="2">
        <v>142</v>
      </c>
      <c r="D15" s="2">
        <v>49</v>
      </c>
      <c r="E15" s="3">
        <v>5942</v>
      </c>
    </row>
    <row r="16" spans="1:5" x14ac:dyDescent="0.25">
      <c r="A16" s="2" t="s">
        <v>19</v>
      </c>
      <c r="B16" s="2" t="s">
        <v>57</v>
      </c>
      <c r="C16" s="2">
        <v>28</v>
      </c>
      <c r="D16" s="2">
        <v>30</v>
      </c>
      <c r="E16" s="3">
        <v>40485</v>
      </c>
    </row>
    <row r="17" spans="1:5" x14ac:dyDescent="0.25">
      <c r="A17" s="2" t="s">
        <v>20</v>
      </c>
      <c r="B17" s="2" t="s">
        <v>59</v>
      </c>
      <c r="C17" s="2">
        <v>82</v>
      </c>
      <c r="D17" s="2">
        <v>34</v>
      </c>
      <c r="E17" s="3">
        <v>96406</v>
      </c>
    </row>
    <row r="18" spans="1:5" x14ac:dyDescent="0.25">
      <c r="A18" s="2" t="s">
        <v>21</v>
      </c>
      <c r="B18" s="2" t="s">
        <v>56</v>
      </c>
      <c r="C18" s="2">
        <v>127</v>
      </c>
      <c r="D18" s="2">
        <v>38</v>
      </c>
      <c r="E18" s="3">
        <v>24396</v>
      </c>
    </row>
    <row r="19" spans="1:5" x14ac:dyDescent="0.25">
      <c r="A19" s="2" t="s">
        <v>22</v>
      </c>
      <c r="B19" s="2" t="s">
        <v>57</v>
      </c>
      <c r="C19" s="2">
        <v>47</v>
      </c>
      <c r="D19" s="2">
        <v>48</v>
      </c>
      <c r="E19" s="3">
        <v>86884</v>
      </c>
    </row>
    <row r="20" spans="1:5" x14ac:dyDescent="0.25">
      <c r="A20" s="2" t="s">
        <v>23</v>
      </c>
      <c r="B20" s="2" t="s">
        <v>59</v>
      </c>
      <c r="C20" s="2">
        <v>62</v>
      </c>
      <c r="D20" s="2">
        <v>25</v>
      </c>
      <c r="E20" s="3">
        <v>67505</v>
      </c>
    </row>
    <row r="21" spans="1:5" x14ac:dyDescent="0.25">
      <c r="A21" s="2" t="s">
        <v>24</v>
      </c>
      <c r="B21" s="2" t="s">
        <v>55</v>
      </c>
      <c r="C21" s="2">
        <v>42</v>
      </c>
      <c r="D21" s="2">
        <v>22</v>
      </c>
      <c r="E21" s="3">
        <v>41972</v>
      </c>
    </row>
    <row r="22" spans="1:5" x14ac:dyDescent="0.25">
      <c r="A22" s="2" t="s">
        <v>25</v>
      </c>
      <c r="B22" s="2" t="s">
        <v>55</v>
      </c>
      <c r="C22" s="2">
        <v>108</v>
      </c>
      <c r="D22" s="2">
        <v>26</v>
      </c>
      <c r="E22" s="3">
        <v>87371</v>
      </c>
    </row>
    <row r="23" spans="1:5" x14ac:dyDescent="0.25">
      <c r="A23" s="2" t="s">
        <v>26</v>
      </c>
      <c r="B23" s="2" t="s">
        <v>57</v>
      </c>
      <c r="C23" s="2">
        <v>68</v>
      </c>
      <c r="D23" s="2">
        <v>30</v>
      </c>
      <c r="E23" s="3">
        <v>40785</v>
      </c>
    </row>
    <row r="24" spans="1:5" x14ac:dyDescent="0.25">
      <c r="A24" s="2" t="s">
        <v>27</v>
      </c>
      <c r="B24" s="2" t="s">
        <v>58</v>
      </c>
      <c r="C24" s="2">
        <v>140</v>
      </c>
      <c r="D24" s="2">
        <v>29</v>
      </c>
      <c r="E24" s="3">
        <v>97972</v>
      </c>
    </row>
    <row r="25" spans="1:5" x14ac:dyDescent="0.25">
      <c r="A25" s="2" t="s">
        <v>28</v>
      </c>
      <c r="B25" s="2" t="s">
        <v>59</v>
      </c>
      <c r="C25" s="2">
        <v>92</v>
      </c>
      <c r="D25" s="2">
        <v>34</v>
      </c>
      <c r="E25" s="3">
        <v>92327</v>
      </c>
    </row>
    <row r="26" spans="1:5" x14ac:dyDescent="0.25">
      <c r="A26" s="2" t="s">
        <v>29</v>
      </c>
      <c r="B26" s="2" t="s">
        <v>58</v>
      </c>
      <c r="C26" s="2">
        <v>65</v>
      </c>
      <c r="D26" s="2">
        <v>28</v>
      </c>
      <c r="E26" s="3">
        <v>33197</v>
      </c>
    </row>
    <row r="27" spans="1:5" x14ac:dyDescent="0.25">
      <c r="A27" s="2" t="s">
        <v>30</v>
      </c>
      <c r="B27" s="2" t="s">
        <v>59</v>
      </c>
      <c r="C27" s="2">
        <v>69</v>
      </c>
      <c r="D27" s="2">
        <v>33</v>
      </c>
      <c r="E27" s="3">
        <v>72419</v>
      </c>
    </row>
    <row r="28" spans="1:5" x14ac:dyDescent="0.25">
      <c r="A28" s="2" t="s">
        <v>31</v>
      </c>
      <c r="B28" s="2" t="s">
        <v>57</v>
      </c>
      <c r="C28" s="2">
        <v>100</v>
      </c>
      <c r="D28" s="2">
        <v>42</v>
      </c>
      <c r="E28" s="3">
        <v>90431</v>
      </c>
    </row>
    <row r="29" spans="1:5" x14ac:dyDescent="0.25">
      <c r="A29" s="2" t="s">
        <v>32</v>
      </c>
      <c r="B29" s="2" t="s">
        <v>58</v>
      </c>
      <c r="C29" s="2">
        <v>130</v>
      </c>
      <c r="D29" s="2">
        <v>37</v>
      </c>
      <c r="E29" s="3">
        <v>6677</v>
      </c>
    </row>
    <row r="30" spans="1:5" x14ac:dyDescent="0.25">
      <c r="A30" s="2" t="s">
        <v>33</v>
      </c>
      <c r="B30" s="2" t="s">
        <v>55</v>
      </c>
      <c r="C30" s="2">
        <v>106</v>
      </c>
      <c r="D30" s="2">
        <v>32</v>
      </c>
      <c r="E30" s="3">
        <v>45900</v>
      </c>
    </row>
    <row r="31" spans="1:5" x14ac:dyDescent="0.25">
      <c r="A31" s="2" t="s">
        <v>34</v>
      </c>
      <c r="B31" s="2" t="s">
        <v>59</v>
      </c>
      <c r="C31" s="2">
        <v>102</v>
      </c>
      <c r="D31" s="2">
        <v>15</v>
      </c>
      <c r="E31" s="3">
        <v>65114</v>
      </c>
    </row>
    <row r="32" spans="1:5" x14ac:dyDescent="0.25">
      <c r="A32" s="2" t="s">
        <v>35</v>
      </c>
      <c r="B32" s="2" t="s">
        <v>59</v>
      </c>
      <c r="C32" s="2">
        <v>10</v>
      </c>
      <c r="D32" s="2">
        <v>17</v>
      </c>
      <c r="E32" s="3">
        <v>71424</v>
      </c>
    </row>
    <row r="33" spans="1:5" x14ac:dyDescent="0.25">
      <c r="A33" s="2" t="s">
        <v>36</v>
      </c>
      <c r="B33" s="2" t="s">
        <v>58</v>
      </c>
      <c r="C33" s="2">
        <v>92</v>
      </c>
      <c r="D33" s="2">
        <v>11</v>
      </c>
      <c r="E33" s="3">
        <v>63282</v>
      </c>
    </row>
    <row r="34" spans="1:5" x14ac:dyDescent="0.25">
      <c r="A34" s="2" t="s">
        <v>37</v>
      </c>
      <c r="B34" s="2" t="s">
        <v>55</v>
      </c>
      <c r="C34" s="2">
        <v>102</v>
      </c>
      <c r="D34" s="2">
        <v>12</v>
      </c>
      <c r="E34" s="3">
        <v>78757</v>
      </c>
    </row>
    <row r="35" spans="1:5" x14ac:dyDescent="0.25">
      <c r="A35" s="2" t="s">
        <v>38</v>
      </c>
      <c r="B35" s="2" t="s">
        <v>56</v>
      </c>
      <c r="C35" s="2">
        <v>130</v>
      </c>
      <c r="D35" s="2">
        <v>32</v>
      </c>
      <c r="E35" s="3">
        <v>68860</v>
      </c>
    </row>
    <row r="36" spans="1:5" x14ac:dyDescent="0.25">
      <c r="A36" s="2" t="s">
        <v>39</v>
      </c>
      <c r="B36" s="2" t="s">
        <v>59</v>
      </c>
      <c r="C36" s="2">
        <v>78</v>
      </c>
      <c r="D36" s="2">
        <v>47</v>
      </c>
      <c r="E36" s="3">
        <v>95183</v>
      </c>
    </row>
    <row r="37" spans="1:5" x14ac:dyDescent="0.25">
      <c r="A37" s="2" t="s">
        <v>40</v>
      </c>
      <c r="B37" s="2" t="s">
        <v>55</v>
      </c>
      <c r="C37" s="2">
        <v>111</v>
      </c>
      <c r="D37" s="2">
        <v>23</v>
      </c>
      <c r="E37" s="3">
        <v>36630</v>
      </c>
    </row>
    <row r="38" spans="1:5" x14ac:dyDescent="0.25">
      <c r="A38" s="2" t="s">
        <v>41</v>
      </c>
      <c r="B38" s="2" t="s">
        <v>55</v>
      </c>
      <c r="C38" s="2">
        <v>73</v>
      </c>
      <c r="D38" s="2">
        <v>24</v>
      </c>
      <c r="E38" s="3">
        <v>95228</v>
      </c>
    </row>
    <row r="39" spans="1:5" x14ac:dyDescent="0.25">
      <c r="A39" s="2" t="s">
        <v>42</v>
      </c>
      <c r="B39" s="2" t="s">
        <v>59</v>
      </c>
      <c r="C39" s="2">
        <v>116</v>
      </c>
      <c r="D39" s="2">
        <v>11</v>
      </c>
      <c r="E39" s="3">
        <v>16745</v>
      </c>
    </row>
    <row r="40" spans="1:5" x14ac:dyDescent="0.25">
      <c r="A40" s="2" t="s">
        <v>43</v>
      </c>
      <c r="B40" s="2" t="s">
        <v>57</v>
      </c>
      <c r="C40" s="2">
        <v>135</v>
      </c>
      <c r="D40" s="2">
        <v>25</v>
      </c>
      <c r="E40" s="3">
        <v>29670</v>
      </c>
    </row>
    <row r="41" spans="1:5" x14ac:dyDescent="0.25">
      <c r="A41" s="2" t="s">
        <v>44</v>
      </c>
      <c r="B41" s="2" t="s">
        <v>56</v>
      </c>
      <c r="C41" s="2">
        <v>132</v>
      </c>
      <c r="D41" s="2">
        <v>32</v>
      </c>
      <c r="E41" s="3">
        <v>54663</v>
      </c>
    </row>
    <row r="42" spans="1:5" x14ac:dyDescent="0.25">
      <c r="A42" s="2" t="s">
        <v>45</v>
      </c>
      <c r="B42" s="2" t="s">
        <v>57</v>
      </c>
      <c r="C42" s="2">
        <v>135</v>
      </c>
      <c r="D42" s="2">
        <v>11</v>
      </c>
      <c r="E42" s="3">
        <v>10675</v>
      </c>
    </row>
    <row r="43" spans="1:5" x14ac:dyDescent="0.25">
      <c r="A43" s="2" t="s">
        <v>46</v>
      </c>
      <c r="B43" s="2" t="s">
        <v>56</v>
      </c>
      <c r="C43" s="2">
        <v>67</v>
      </c>
      <c r="D43" s="2">
        <v>28</v>
      </c>
      <c r="E43" s="3">
        <v>86716</v>
      </c>
    </row>
    <row r="44" spans="1:5" x14ac:dyDescent="0.25">
      <c r="A44" s="2" t="s">
        <v>47</v>
      </c>
      <c r="B44" s="2" t="s">
        <v>57</v>
      </c>
      <c r="C44" s="2">
        <v>94</v>
      </c>
      <c r="D44" s="2">
        <v>26</v>
      </c>
      <c r="E44" s="3">
        <v>57512</v>
      </c>
    </row>
    <row r="45" spans="1:5" x14ac:dyDescent="0.25">
      <c r="A45" s="2" t="s">
        <v>48</v>
      </c>
      <c r="B45" s="2" t="s">
        <v>55</v>
      </c>
      <c r="C45" s="2">
        <v>114</v>
      </c>
      <c r="D45" s="2">
        <v>42</v>
      </c>
      <c r="E45" s="3">
        <v>66011</v>
      </c>
    </row>
    <row r="46" spans="1:5" x14ac:dyDescent="0.25">
      <c r="A46" s="2" t="s">
        <v>49</v>
      </c>
      <c r="B46" s="2" t="s">
        <v>57</v>
      </c>
      <c r="C46" s="2">
        <v>53</v>
      </c>
      <c r="D46" s="2">
        <v>38</v>
      </c>
      <c r="E46" s="3">
        <v>90228</v>
      </c>
    </row>
    <row r="47" spans="1:5" x14ac:dyDescent="0.25">
      <c r="A47" s="2" t="s">
        <v>50</v>
      </c>
      <c r="B47" s="2" t="s">
        <v>56</v>
      </c>
      <c r="C47" s="2">
        <v>85</v>
      </c>
      <c r="D47" s="2">
        <v>25</v>
      </c>
      <c r="E47" s="3">
        <v>8737</v>
      </c>
    </row>
    <row r="48" spans="1:5" x14ac:dyDescent="0.25">
      <c r="A48" s="2" t="s">
        <v>51</v>
      </c>
      <c r="B48" s="2" t="s">
        <v>57</v>
      </c>
      <c r="C48" s="2">
        <v>89</v>
      </c>
      <c r="D48" s="2">
        <v>32</v>
      </c>
      <c r="E48" s="3">
        <v>96000</v>
      </c>
    </row>
    <row r="49" spans="1:5" x14ac:dyDescent="0.25">
      <c r="A49" s="2" t="s">
        <v>52</v>
      </c>
      <c r="B49" s="2" t="s">
        <v>56</v>
      </c>
      <c r="C49" s="2">
        <v>55</v>
      </c>
      <c r="D49" s="2">
        <v>46</v>
      </c>
      <c r="E49" s="3">
        <v>76930</v>
      </c>
    </row>
    <row r="50" spans="1:5" x14ac:dyDescent="0.25">
      <c r="A50" s="2" t="s">
        <v>53</v>
      </c>
      <c r="B50" s="2" t="s">
        <v>58</v>
      </c>
      <c r="C50" s="2">
        <v>138</v>
      </c>
      <c r="D50" s="2">
        <v>48</v>
      </c>
      <c r="E50" s="3">
        <v>49043</v>
      </c>
    </row>
    <row r="51" spans="1:5" x14ac:dyDescent="0.25">
      <c r="A51" s="2" t="s">
        <v>54</v>
      </c>
      <c r="B51" s="2" t="s">
        <v>55</v>
      </c>
      <c r="C51" s="2">
        <v>39</v>
      </c>
      <c r="D51" s="2">
        <v>33</v>
      </c>
      <c r="E51" s="3">
        <v>82921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0BC63-492F-416B-AA9E-262798126641}">
  <dimension ref="A1:F51"/>
  <sheetViews>
    <sheetView workbookViewId="0">
      <selection activeCell="F2" sqref="F2"/>
    </sheetView>
  </sheetViews>
  <sheetFormatPr defaultRowHeight="15" x14ac:dyDescent="0.25"/>
  <cols>
    <col min="1" max="1" width="19" customWidth="1"/>
    <col min="2" max="2" width="9.42578125" bestFit="1" customWidth="1"/>
    <col min="3" max="3" width="13.5703125" bestFit="1" customWidth="1"/>
    <col min="4" max="4" width="15.85546875" bestFit="1" customWidth="1"/>
    <col min="5" max="5" width="10.28515625" bestFit="1" customWidth="1"/>
    <col min="6" max="6" width="12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89</v>
      </c>
    </row>
    <row r="2" spans="1:6" x14ac:dyDescent="0.25">
      <c r="A2" s="2" t="s">
        <v>60</v>
      </c>
      <c r="B2" s="2" t="s">
        <v>55</v>
      </c>
      <c r="C2" s="2">
        <v>1</v>
      </c>
      <c r="D2" s="2">
        <v>21</v>
      </c>
      <c r="E2" s="3">
        <v>18757</v>
      </c>
      <c r="F2" s="2" t="str">
        <f>IF(C2&gt;0,IF(C2&gt;=D2,IF(C2&lt;D2*5,"NORMAL","OVERSTOCK"),"REORDER"),"OUT OF STOCK")</f>
        <v>REORDER</v>
      </c>
    </row>
    <row r="3" spans="1:6" x14ac:dyDescent="0.25">
      <c r="A3" s="2" t="s">
        <v>61</v>
      </c>
      <c r="B3" s="2" t="s">
        <v>56</v>
      </c>
      <c r="C3" s="2">
        <v>88</v>
      </c>
      <c r="D3" s="2">
        <v>33</v>
      </c>
      <c r="E3" s="3">
        <v>25895</v>
      </c>
      <c r="F3" s="2" t="str">
        <f t="shared" ref="F3:F51" si="0">IF(C3&gt;0,IF(C3&gt;=D3,IF(C3&lt;D3*5,"NORMAL","OVERSTOCK"),"REORDER"),"OUT OF STOCK")</f>
        <v>NORMAL</v>
      </c>
    </row>
    <row r="4" spans="1:6" x14ac:dyDescent="0.25">
      <c r="A4" s="2" t="s">
        <v>62</v>
      </c>
      <c r="B4" s="2" t="s">
        <v>57</v>
      </c>
      <c r="C4" s="2">
        <v>132</v>
      </c>
      <c r="D4" s="2">
        <v>20</v>
      </c>
      <c r="E4" s="3">
        <v>95738</v>
      </c>
      <c r="F4" s="2" t="str">
        <f t="shared" si="0"/>
        <v>OVERSTOCK</v>
      </c>
    </row>
    <row r="5" spans="1:6" x14ac:dyDescent="0.25">
      <c r="A5" s="2" t="s">
        <v>63</v>
      </c>
      <c r="B5" s="2" t="s">
        <v>58</v>
      </c>
      <c r="C5" s="2">
        <v>17</v>
      </c>
      <c r="D5" s="2">
        <v>20</v>
      </c>
      <c r="E5" s="3">
        <v>11826</v>
      </c>
      <c r="F5" s="2" t="str">
        <f t="shared" si="0"/>
        <v>REORDER</v>
      </c>
    </row>
    <row r="6" spans="1:6" x14ac:dyDescent="0.25">
      <c r="A6" s="2" t="s">
        <v>61</v>
      </c>
      <c r="B6" s="2" t="s">
        <v>56</v>
      </c>
      <c r="C6" s="2">
        <v>137</v>
      </c>
      <c r="D6" s="2">
        <v>32</v>
      </c>
      <c r="E6" s="3">
        <v>24543</v>
      </c>
      <c r="F6" s="2" t="str">
        <f t="shared" si="0"/>
        <v>NORMAL</v>
      </c>
    </row>
    <row r="7" spans="1:6" x14ac:dyDescent="0.25">
      <c r="A7" s="2" t="s">
        <v>64</v>
      </c>
      <c r="B7" s="2" t="s">
        <v>59</v>
      </c>
      <c r="C7" s="2">
        <v>8</v>
      </c>
      <c r="D7" s="2">
        <v>15</v>
      </c>
      <c r="E7" s="3">
        <v>89703</v>
      </c>
      <c r="F7" s="2" t="str">
        <f t="shared" si="0"/>
        <v>REORDER</v>
      </c>
    </row>
    <row r="8" spans="1:6" x14ac:dyDescent="0.25">
      <c r="A8" s="2" t="s">
        <v>65</v>
      </c>
      <c r="B8" s="2" t="s">
        <v>57</v>
      </c>
      <c r="C8" s="2">
        <v>17</v>
      </c>
      <c r="D8" s="2">
        <v>17</v>
      </c>
      <c r="E8" s="3">
        <v>45668</v>
      </c>
      <c r="F8" s="2" t="str">
        <f t="shared" si="0"/>
        <v>NORMAL</v>
      </c>
    </row>
    <row r="9" spans="1:6" x14ac:dyDescent="0.25">
      <c r="A9" s="2" t="s">
        <v>66</v>
      </c>
      <c r="B9" s="2" t="s">
        <v>57</v>
      </c>
      <c r="C9" s="2">
        <v>50</v>
      </c>
      <c r="D9" s="2">
        <v>46</v>
      </c>
      <c r="E9" s="3">
        <v>66783</v>
      </c>
      <c r="F9" s="2" t="str">
        <f t="shared" si="0"/>
        <v>NORMAL</v>
      </c>
    </row>
    <row r="10" spans="1:6" x14ac:dyDescent="0.25">
      <c r="A10" s="2" t="s">
        <v>67</v>
      </c>
      <c r="B10" s="2" t="s">
        <v>57</v>
      </c>
      <c r="C10" s="2">
        <v>103</v>
      </c>
      <c r="D10" s="2">
        <v>19</v>
      </c>
      <c r="E10" s="3">
        <v>16218</v>
      </c>
      <c r="F10" s="2" t="str">
        <f t="shared" si="0"/>
        <v>OVERSTOCK</v>
      </c>
    </row>
    <row r="11" spans="1:6" x14ac:dyDescent="0.25">
      <c r="A11" s="2" t="s">
        <v>68</v>
      </c>
      <c r="B11" s="2" t="s">
        <v>59</v>
      </c>
      <c r="C11" s="2">
        <v>3</v>
      </c>
      <c r="D11" s="2">
        <v>35</v>
      </c>
      <c r="E11" s="3">
        <v>53678</v>
      </c>
      <c r="F11" s="2" t="str">
        <f t="shared" si="0"/>
        <v>REORDER</v>
      </c>
    </row>
    <row r="12" spans="1:6" x14ac:dyDescent="0.25">
      <c r="A12" s="2" t="s">
        <v>69</v>
      </c>
      <c r="B12" s="2" t="s">
        <v>58</v>
      </c>
      <c r="C12" s="2">
        <v>100</v>
      </c>
      <c r="D12" s="2">
        <v>33</v>
      </c>
      <c r="E12" s="3">
        <v>19886</v>
      </c>
      <c r="F12" s="2" t="str">
        <f t="shared" si="0"/>
        <v>NORMAL</v>
      </c>
    </row>
    <row r="13" spans="1:6" x14ac:dyDescent="0.25">
      <c r="A13" s="2" t="s">
        <v>70</v>
      </c>
      <c r="B13" s="2" t="s">
        <v>57</v>
      </c>
      <c r="C13" s="2">
        <v>119</v>
      </c>
      <c r="D13" s="2">
        <v>20</v>
      </c>
      <c r="E13" s="3">
        <v>54260</v>
      </c>
      <c r="F13" s="2" t="str">
        <f t="shared" si="0"/>
        <v>OVERSTOCK</v>
      </c>
    </row>
    <row r="14" spans="1:6" x14ac:dyDescent="0.25">
      <c r="A14" s="2" t="s">
        <v>71</v>
      </c>
      <c r="B14" s="2" t="s">
        <v>55</v>
      </c>
      <c r="C14" s="2">
        <v>1</v>
      </c>
      <c r="D14" s="2">
        <v>45</v>
      </c>
      <c r="E14" s="3">
        <v>73204</v>
      </c>
      <c r="F14" s="2" t="str">
        <f t="shared" si="0"/>
        <v>REORDER</v>
      </c>
    </row>
    <row r="15" spans="1:6" x14ac:dyDescent="0.25">
      <c r="A15" s="2" t="s">
        <v>72</v>
      </c>
      <c r="B15" s="2" t="s">
        <v>59</v>
      </c>
      <c r="C15" s="2">
        <v>142</v>
      </c>
      <c r="D15" s="2">
        <v>49</v>
      </c>
      <c r="E15" s="3">
        <v>5942</v>
      </c>
      <c r="F15" s="2" t="str">
        <f t="shared" si="0"/>
        <v>NORMAL</v>
      </c>
    </row>
    <row r="16" spans="1:6" x14ac:dyDescent="0.25">
      <c r="A16" s="2" t="s">
        <v>73</v>
      </c>
      <c r="B16" s="2" t="s">
        <v>57</v>
      </c>
      <c r="C16" s="2">
        <v>28</v>
      </c>
      <c r="D16" s="2">
        <v>30</v>
      </c>
      <c r="E16" s="3">
        <v>40485</v>
      </c>
      <c r="F16" s="2" t="str">
        <f t="shared" si="0"/>
        <v>REORDER</v>
      </c>
    </row>
    <row r="17" spans="1:6" x14ac:dyDescent="0.25">
      <c r="A17" s="2" t="s">
        <v>74</v>
      </c>
      <c r="B17" s="2" t="s">
        <v>59</v>
      </c>
      <c r="C17" s="2">
        <v>82</v>
      </c>
      <c r="D17" s="2">
        <v>34</v>
      </c>
      <c r="E17" s="3">
        <v>96406</v>
      </c>
      <c r="F17" s="2" t="str">
        <f t="shared" si="0"/>
        <v>NORMAL</v>
      </c>
    </row>
    <row r="18" spans="1:6" x14ac:dyDescent="0.25">
      <c r="A18" s="2" t="s">
        <v>75</v>
      </c>
      <c r="B18" s="2" t="s">
        <v>56</v>
      </c>
      <c r="C18" s="2">
        <v>127</v>
      </c>
      <c r="D18" s="2">
        <v>38</v>
      </c>
      <c r="E18" s="3">
        <v>24396</v>
      </c>
      <c r="F18" s="2" t="str">
        <f t="shared" si="0"/>
        <v>NORMAL</v>
      </c>
    </row>
    <row r="19" spans="1:6" x14ac:dyDescent="0.25">
      <c r="A19" s="2" t="s">
        <v>70</v>
      </c>
      <c r="B19" s="2" t="s">
        <v>57</v>
      </c>
      <c r="C19" s="2">
        <v>47</v>
      </c>
      <c r="D19" s="2">
        <v>48</v>
      </c>
      <c r="E19" s="3">
        <v>86884</v>
      </c>
      <c r="F19" s="2" t="str">
        <f t="shared" si="0"/>
        <v>REORDER</v>
      </c>
    </row>
    <row r="20" spans="1:6" x14ac:dyDescent="0.25">
      <c r="A20" s="2" t="s">
        <v>74</v>
      </c>
      <c r="B20" s="2" t="s">
        <v>59</v>
      </c>
      <c r="C20" s="2">
        <v>62</v>
      </c>
      <c r="D20" s="2">
        <v>25</v>
      </c>
      <c r="E20" s="3">
        <v>67505</v>
      </c>
      <c r="F20" s="2" t="str">
        <f t="shared" si="0"/>
        <v>NORMAL</v>
      </c>
    </row>
    <row r="21" spans="1:6" x14ac:dyDescent="0.25">
      <c r="A21" s="2" t="s">
        <v>71</v>
      </c>
      <c r="B21" s="2" t="s">
        <v>55</v>
      </c>
      <c r="C21" s="2">
        <v>42</v>
      </c>
      <c r="D21" s="2">
        <v>22</v>
      </c>
      <c r="E21" s="3">
        <v>41972</v>
      </c>
      <c r="F21" s="2" t="str">
        <f t="shared" si="0"/>
        <v>NORMAL</v>
      </c>
    </row>
    <row r="22" spans="1:6" x14ac:dyDescent="0.25">
      <c r="A22" s="2" t="s">
        <v>76</v>
      </c>
      <c r="B22" s="2" t="s">
        <v>55</v>
      </c>
      <c r="C22" s="2">
        <v>108</v>
      </c>
      <c r="D22" s="2">
        <v>26</v>
      </c>
      <c r="E22" s="3">
        <v>87371</v>
      </c>
      <c r="F22" s="2" t="str">
        <f t="shared" si="0"/>
        <v>NORMAL</v>
      </c>
    </row>
    <row r="23" spans="1:6" x14ac:dyDescent="0.25">
      <c r="A23" s="2" t="s">
        <v>70</v>
      </c>
      <c r="B23" s="2" t="s">
        <v>57</v>
      </c>
      <c r="C23" s="2">
        <v>68</v>
      </c>
      <c r="D23" s="2">
        <v>30</v>
      </c>
      <c r="E23" s="3">
        <v>40785</v>
      </c>
      <c r="F23" s="2" t="str">
        <f t="shared" si="0"/>
        <v>NORMAL</v>
      </c>
    </row>
    <row r="24" spans="1:6" x14ac:dyDescent="0.25">
      <c r="A24" s="2" t="s">
        <v>69</v>
      </c>
      <c r="B24" s="2" t="s">
        <v>58</v>
      </c>
      <c r="C24" s="2">
        <v>140</v>
      </c>
      <c r="D24" s="2">
        <v>29</v>
      </c>
      <c r="E24" s="3">
        <v>97972</v>
      </c>
      <c r="F24" s="2" t="str">
        <f t="shared" si="0"/>
        <v>NORMAL</v>
      </c>
    </row>
    <row r="25" spans="1:6" x14ac:dyDescent="0.25">
      <c r="A25" s="2" t="s">
        <v>77</v>
      </c>
      <c r="B25" s="2" t="s">
        <v>59</v>
      </c>
      <c r="C25" s="2">
        <v>92</v>
      </c>
      <c r="D25" s="2">
        <v>34</v>
      </c>
      <c r="E25" s="3">
        <v>92327</v>
      </c>
      <c r="F25" s="2" t="str">
        <f t="shared" si="0"/>
        <v>NORMAL</v>
      </c>
    </row>
    <row r="26" spans="1:6" x14ac:dyDescent="0.25">
      <c r="A26" s="2" t="s">
        <v>78</v>
      </c>
      <c r="B26" s="2" t="s">
        <v>58</v>
      </c>
      <c r="C26" s="2">
        <v>65</v>
      </c>
      <c r="D26" s="2">
        <v>28</v>
      </c>
      <c r="E26" s="3">
        <v>33197</v>
      </c>
      <c r="F26" s="2" t="str">
        <f t="shared" si="0"/>
        <v>NORMAL</v>
      </c>
    </row>
    <row r="27" spans="1:6" x14ac:dyDescent="0.25">
      <c r="A27" s="2" t="s">
        <v>79</v>
      </c>
      <c r="B27" s="2" t="s">
        <v>59</v>
      </c>
      <c r="C27" s="2">
        <v>69</v>
      </c>
      <c r="D27" s="2">
        <v>33</v>
      </c>
      <c r="E27" s="3">
        <v>72419</v>
      </c>
      <c r="F27" s="2" t="str">
        <f t="shared" si="0"/>
        <v>NORMAL</v>
      </c>
    </row>
    <row r="28" spans="1:6" x14ac:dyDescent="0.25">
      <c r="A28" s="2" t="s">
        <v>70</v>
      </c>
      <c r="B28" s="2" t="s">
        <v>57</v>
      </c>
      <c r="C28" s="2">
        <v>100</v>
      </c>
      <c r="D28" s="2">
        <v>42</v>
      </c>
      <c r="E28" s="3">
        <v>90431</v>
      </c>
      <c r="F28" s="2" t="str">
        <f t="shared" si="0"/>
        <v>NORMAL</v>
      </c>
    </row>
    <row r="29" spans="1:6" x14ac:dyDescent="0.25">
      <c r="A29" s="2" t="s">
        <v>80</v>
      </c>
      <c r="B29" s="2" t="s">
        <v>58</v>
      </c>
      <c r="C29" s="2">
        <v>130</v>
      </c>
      <c r="D29" s="2">
        <v>37</v>
      </c>
      <c r="E29" s="3">
        <v>6677</v>
      </c>
      <c r="F29" s="2" t="str">
        <f t="shared" si="0"/>
        <v>NORMAL</v>
      </c>
    </row>
    <row r="30" spans="1:6" x14ac:dyDescent="0.25">
      <c r="A30" s="2" t="s">
        <v>81</v>
      </c>
      <c r="B30" s="2" t="s">
        <v>55</v>
      </c>
      <c r="C30" s="2">
        <v>106</v>
      </c>
      <c r="D30" s="2">
        <v>32</v>
      </c>
      <c r="E30" s="3">
        <v>45900</v>
      </c>
      <c r="F30" s="2" t="str">
        <f t="shared" si="0"/>
        <v>NORMAL</v>
      </c>
    </row>
    <row r="31" spans="1:6" x14ac:dyDescent="0.25">
      <c r="A31" s="2" t="s">
        <v>82</v>
      </c>
      <c r="B31" s="2" t="s">
        <v>59</v>
      </c>
      <c r="C31" s="2">
        <v>102</v>
      </c>
      <c r="D31" s="2">
        <v>15</v>
      </c>
      <c r="E31" s="3">
        <v>65114</v>
      </c>
      <c r="F31" s="2" t="str">
        <f t="shared" si="0"/>
        <v>OVERSTOCK</v>
      </c>
    </row>
    <row r="32" spans="1:6" x14ac:dyDescent="0.25">
      <c r="A32" s="2" t="s">
        <v>82</v>
      </c>
      <c r="B32" s="2" t="s">
        <v>59</v>
      </c>
      <c r="C32" s="2">
        <v>10</v>
      </c>
      <c r="D32" s="2">
        <v>17</v>
      </c>
      <c r="E32" s="3">
        <v>71424</v>
      </c>
      <c r="F32" s="2" t="str">
        <f t="shared" si="0"/>
        <v>REORDER</v>
      </c>
    </row>
    <row r="33" spans="1:6" x14ac:dyDescent="0.25">
      <c r="A33" s="2" t="s">
        <v>78</v>
      </c>
      <c r="B33" s="2" t="s">
        <v>58</v>
      </c>
      <c r="C33" s="2">
        <v>92</v>
      </c>
      <c r="D33" s="2">
        <v>11</v>
      </c>
      <c r="E33" s="3">
        <v>63282</v>
      </c>
      <c r="F33" s="2" t="str">
        <f t="shared" si="0"/>
        <v>OVERSTOCK</v>
      </c>
    </row>
    <row r="34" spans="1:6" x14ac:dyDescent="0.25">
      <c r="A34" s="2" t="s">
        <v>83</v>
      </c>
      <c r="B34" s="2" t="s">
        <v>55</v>
      </c>
      <c r="C34" s="2">
        <v>102</v>
      </c>
      <c r="D34" s="2">
        <v>12</v>
      </c>
      <c r="E34" s="3">
        <v>78757</v>
      </c>
      <c r="F34" s="2" t="str">
        <f t="shared" si="0"/>
        <v>OVERSTOCK</v>
      </c>
    </row>
    <row r="35" spans="1:6" x14ac:dyDescent="0.25">
      <c r="A35" s="2" t="s">
        <v>84</v>
      </c>
      <c r="B35" s="2" t="s">
        <v>56</v>
      </c>
      <c r="C35" s="2">
        <v>130</v>
      </c>
      <c r="D35" s="2">
        <v>32</v>
      </c>
      <c r="E35" s="3">
        <v>68860</v>
      </c>
      <c r="F35" s="2" t="str">
        <f t="shared" si="0"/>
        <v>NORMAL</v>
      </c>
    </row>
    <row r="36" spans="1:6" x14ac:dyDescent="0.25">
      <c r="A36" s="2" t="s">
        <v>77</v>
      </c>
      <c r="B36" s="2" t="s">
        <v>59</v>
      </c>
      <c r="C36" s="2">
        <v>78</v>
      </c>
      <c r="D36" s="2">
        <v>47</v>
      </c>
      <c r="E36" s="3">
        <v>95183</v>
      </c>
      <c r="F36" s="2" t="str">
        <f t="shared" si="0"/>
        <v>NORMAL</v>
      </c>
    </row>
    <row r="37" spans="1:6" x14ac:dyDescent="0.25">
      <c r="A37" s="2" t="s">
        <v>85</v>
      </c>
      <c r="B37" s="2" t="s">
        <v>55</v>
      </c>
      <c r="C37" s="2">
        <v>111</v>
      </c>
      <c r="D37" s="2">
        <v>23</v>
      </c>
      <c r="E37" s="3">
        <v>36630</v>
      </c>
      <c r="F37" s="2" t="str">
        <f t="shared" si="0"/>
        <v>NORMAL</v>
      </c>
    </row>
    <row r="38" spans="1:6" x14ac:dyDescent="0.25">
      <c r="A38" s="2" t="s">
        <v>85</v>
      </c>
      <c r="B38" s="2" t="s">
        <v>55</v>
      </c>
      <c r="C38" s="2">
        <v>73</v>
      </c>
      <c r="D38" s="2">
        <v>24</v>
      </c>
      <c r="E38" s="3">
        <v>95228</v>
      </c>
      <c r="F38" s="2" t="str">
        <f t="shared" si="0"/>
        <v>NORMAL</v>
      </c>
    </row>
    <row r="39" spans="1:6" x14ac:dyDescent="0.25">
      <c r="A39" s="2" t="s">
        <v>77</v>
      </c>
      <c r="B39" s="2" t="s">
        <v>59</v>
      </c>
      <c r="C39" s="2">
        <v>116</v>
      </c>
      <c r="D39" s="2">
        <v>11</v>
      </c>
      <c r="E39" s="3">
        <v>16745</v>
      </c>
      <c r="F39" s="2" t="str">
        <f t="shared" si="0"/>
        <v>OVERSTOCK</v>
      </c>
    </row>
    <row r="40" spans="1:6" x14ac:dyDescent="0.25">
      <c r="A40" s="2" t="s">
        <v>73</v>
      </c>
      <c r="B40" s="2" t="s">
        <v>57</v>
      </c>
      <c r="C40" s="2">
        <v>135</v>
      </c>
      <c r="D40" s="2">
        <v>25</v>
      </c>
      <c r="E40" s="3">
        <v>29670</v>
      </c>
      <c r="F40" s="2" t="str">
        <f t="shared" si="0"/>
        <v>OVERSTOCK</v>
      </c>
    </row>
    <row r="41" spans="1:6" x14ac:dyDescent="0.25">
      <c r="A41" s="2" t="s">
        <v>84</v>
      </c>
      <c r="B41" s="2" t="s">
        <v>56</v>
      </c>
      <c r="C41" s="2">
        <v>132</v>
      </c>
      <c r="D41" s="2">
        <v>32</v>
      </c>
      <c r="E41" s="3">
        <v>54663</v>
      </c>
      <c r="F41" s="2" t="str">
        <f t="shared" si="0"/>
        <v>NORMAL</v>
      </c>
    </row>
    <row r="42" spans="1:6" x14ac:dyDescent="0.25">
      <c r="A42" s="2" t="s">
        <v>86</v>
      </c>
      <c r="B42" s="2" t="s">
        <v>57</v>
      </c>
      <c r="C42" s="2">
        <v>135</v>
      </c>
      <c r="D42" s="2">
        <v>11</v>
      </c>
      <c r="E42" s="3">
        <v>10675</v>
      </c>
      <c r="F42" s="2" t="str">
        <f t="shared" si="0"/>
        <v>OVERSTOCK</v>
      </c>
    </row>
    <row r="43" spans="1:6" x14ac:dyDescent="0.25">
      <c r="A43" s="2" t="s">
        <v>87</v>
      </c>
      <c r="B43" s="2" t="s">
        <v>56</v>
      </c>
      <c r="C43" s="2">
        <v>67</v>
      </c>
      <c r="D43" s="2">
        <v>28</v>
      </c>
      <c r="E43" s="3">
        <v>86716</v>
      </c>
      <c r="F43" s="2" t="str">
        <f t="shared" si="0"/>
        <v>NORMAL</v>
      </c>
    </row>
    <row r="44" spans="1:6" x14ac:dyDescent="0.25">
      <c r="A44" s="2" t="s">
        <v>86</v>
      </c>
      <c r="B44" s="2" t="s">
        <v>57</v>
      </c>
      <c r="C44" s="2">
        <v>94</v>
      </c>
      <c r="D44" s="2">
        <v>26</v>
      </c>
      <c r="E44" s="3">
        <v>57512</v>
      </c>
      <c r="F44" s="2" t="str">
        <f t="shared" si="0"/>
        <v>NORMAL</v>
      </c>
    </row>
    <row r="45" spans="1:6" x14ac:dyDescent="0.25">
      <c r="A45" s="2" t="s">
        <v>83</v>
      </c>
      <c r="B45" s="2" t="s">
        <v>55</v>
      </c>
      <c r="C45" s="2">
        <v>114</v>
      </c>
      <c r="D45" s="2">
        <v>42</v>
      </c>
      <c r="E45" s="3">
        <v>66011</v>
      </c>
      <c r="F45" s="2" t="str">
        <f t="shared" si="0"/>
        <v>NORMAL</v>
      </c>
    </row>
    <row r="46" spans="1:6" x14ac:dyDescent="0.25">
      <c r="A46" s="2" t="s">
        <v>73</v>
      </c>
      <c r="B46" s="2" t="s">
        <v>57</v>
      </c>
      <c r="C46" s="2">
        <v>53</v>
      </c>
      <c r="D46" s="2">
        <v>38</v>
      </c>
      <c r="E46" s="3">
        <v>90228</v>
      </c>
      <c r="F46" s="2" t="str">
        <f t="shared" si="0"/>
        <v>NORMAL</v>
      </c>
    </row>
    <row r="47" spans="1:6" x14ac:dyDescent="0.25">
      <c r="A47" s="2" t="s">
        <v>84</v>
      </c>
      <c r="B47" s="2" t="s">
        <v>56</v>
      </c>
      <c r="C47" s="2">
        <v>85</v>
      </c>
      <c r="D47" s="2">
        <v>25</v>
      </c>
      <c r="E47" s="3">
        <v>8737</v>
      </c>
      <c r="F47" s="2" t="str">
        <f t="shared" si="0"/>
        <v>NORMAL</v>
      </c>
    </row>
    <row r="48" spans="1:6" x14ac:dyDescent="0.25">
      <c r="A48" s="2" t="s">
        <v>73</v>
      </c>
      <c r="B48" s="2" t="s">
        <v>57</v>
      </c>
      <c r="C48" s="2">
        <v>89</v>
      </c>
      <c r="D48" s="2">
        <v>32</v>
      </c>
      <c r="E48" s="3">
        <v>96000</v>
      </c>
      <c r="F48" s="2" t="str">
        <f t="shared" si="0"/>
        <v>NORMAL</v>
      </c>
    </row>
    <row r="49" spans="1:6" x14ac:dyDescent="0.25">
      <c r="A49" s="2" t="s">
        <v>75</v>
      </c>
      <c r="B49" s="2" t="s">
        <v>56</v>
      </c>
      <c r="C49" s="2">
        <v>55</v>
      </c>
      <c r="D49" s="2">
        <v>46</v>
      </c>
      <c r="E49" s="3">
        <v>76930</v>
      </c>
      <c r="F49" s="2" t="str">
        <f t="shared" si="0"/>
        <v>NORMAL</v>
      </c>
    </row>
    <row r="50" spans="1:6" x14ac:dyDescent="0.25">
      <c r="A50" s="2" t="s">
        <v>88</v>
      </c>
      <c r="B50" s="2" t="s">
        <v>58</v>
      </c>
      <c r="C50" s="2">
        <v>138</v>
      </c>
      <c r="D50" s="2">
        <v>48</v>
      </c>
      <c r="E50" s="3">
        <v>49043</v>
      </c>
      <c r="F50" s="2" t="str">
        <f t="shared" si="0"/>
        <v>NORMAL</v>
      </c>
    </row>
    <row r="51" spans="1:6" x14ac:dyDescent="0.25">
      <c r="A51" s="2" t="s">
        <v>83</v>
      </c>
      <c r="B51" s="2" t="s">
        <v>55</v>
      </c>
      <c r="C51" s="2">
        <v>39</v>
      </c>
      <c r="D51" s="2">
        <v>33</v>
      </c>
      <c r="E51" s="3">
        <v>82921</v>
      </c>
      <c r="F51" s="2" t="str">
        <f t="shared" si="0"/>
        <v>NORMAL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CD10D-B8FF-4061-A5BF-0D062CBE7767}">
  <dimension ref="A1:F51"/>
  <sheetViews>
    <sheetView workbookViewId="0">
      <selection activeCell="F2" sqref="F2"/>
    </sheetView>
  </sheetViews>
  <sheetFormatPr defaultRowHeight="15" x14ac:dyDescent="0.25"/>
  <cols>
    <col min="1" max="1" width="19" customWidth="1"/>
    <col min="2" max="2" width="9.42578125" bestFit="1" customWidth="1"/>
    <col min="3" max="3" width="13.5703125" bestFit="1" customWidth="1"/>
    <col min="4" max="4" width="15.85546875" bestFit="1" customWidth="1"/>
    <col min="5" max="5" width="10.28515625" bestFit="1" customWidth="1"/>
    <col min="6" max="6" width="12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89</v>
      </c>
    </row>
    <row r="2" spans="1:6" x14ac:dyDescent="0.25">
      <c r="A2" s="2" t="s">
        <v>60</v>
      </c>
      <c r="B2" s="2" t="s">
        <v>55</v>
      </c>
      <c r="C2" s="2">
        <v>1</v>
      </c>
      <c r="D2" s="2">
        <v>21</v>
      </c>
      <c r="E2" s="3">
        <v>18757</v>
      </c>
      <c r="F2" s="2" t="str">
        <f>IF(C2&gt;0,IF(C2&gt;=D2,IF(C2&lt;D2*5,"NORMAL","OVERSTOCK"),"REORDER"),"OUT OF STOCK")</f>
        <v>REORDER</v>
      </c>
    </row>
    <row r="3" spans="1:6" x14ac:dyDescent="0.25">
      <c r="A3" s="2" t="s">
        <v>61</v>
      </c>
      <c r="B3" s="2" t="s">
        <v>56</v>
      </c>
      <c r="C3" s="2">
        <v>88</v>
      </c>
      <c r="D3" s="2">
        <v>33</v>
      </c>
      <c r="E3" s="3">
        <v>25895</v>
      </c>
      <c r="F3" s="2" t="str">
        <f t="shared" ref="F3:F51" si="0">IF(C3&gt;0,IF(C3&gt;=D3,IF(C3&lt;D3*5,"NORMAL","OVERSTOCK"),"REORDER"),"OUT OF STOCK")</f>
        <v>NORMAL</v>
      </c>
    </row>
    <row r="4" spans="1:6" x14ac:dyDescent="0.25">
      <c r="A4" s="2" t="s">
        <v>62</v>
      </c>
      <c r="B4" s="2" t="s">
        <v>57</v>
      </c>
      <c r="C4" s="2">
        <v>132</v>
      </c>
      <c r="D4" s="2">
        <v>20</v>
      </c>
      <c r="E4" s="3">
        <v>95738</v>
      </c>
      <c r="F4" s="2" t="str">
        <f t="shared" si="0"/>
        <v>OVERSTOCK</v>
      </c>
    </row>
    <row r="5" spans="1:6" x14ac:dyDescent="0.25">
      <c r="A5" s="2" t="s">
        <v>63</v>
      </c>
      <c r="B5" s="2" t="s">
        <v>58</v>
      </c>
      <c r="C5" s="2">
        <v>17</v>
      </c>
      <c r="D5" s="2">
        <v>20</v>
      </c>
      <c r="E5" s="3">
        <v>11826</v>
      </c>
      <c r="F5" s="2" t="str">
        <f t="shared" si="0"/>
        <v>REORDER</v>
      </c>
    </row>
    <row r="6" spans="1:6" x14ac:dyDescent="0.25">
      <c r="A6" s="2" t="s">
        <v>61</v>
      </c>
      <c r="B6" s="2" t="s">
        <v>56</v>
      </c>
      <c r="C6" s="2">
        <v>137</v>
      </c>
      <c r="D6" s="2">
        <v>32</v>
      </c>
      <c r="E6" s="3">
        <v>24543</v>
      </c>
      <c r="F6" s="2" t="str">
        <f t="shared" si="0"/>
        <v>NORMAL</v>
      </c>
    </row>
    <row r="7" spans="1:6" x14ac:dyDescent="0.25">
      <c r="A7" s="2" t="s">
        <v>64</v>
      </c>
      <c r="B7" s="2" t="s">
        <v>59</v>
      </c>
      <c r="C7" s="2">
        <v>8</v>
      </c>
      <c r="D7" s="2">
        <v>15</v>
      </c>
      <c r="E7" s="3">
        <v>89703</v>
      </c>
      <c r="F7" s="2" t="str">
        <f t="shared" si="0"/>
        <v>REORDER</v>
      </c>
    </row>
    <row r="8" spans="1:6" x14ac:dyDescent="0.25">
      <c r="A8" s="2" t="s">
        <v>65</v>
      </c>
      <c r="B8" s="2" t="s">
        <v>57</v>
      </c>
      <c r="C8" s="2">
        <v>17</v>
      </c>
      <c r="D8" s="2">
        <v>17</v>
      </c>
      <c r="E8" s="3">
        <v>45668</v>
      </c>
      <c r="F8" s="2" t="str">
        <f t="shared" si="0"/>
        <v>NORMAL</v>
      </c>
    </row>
    <row r="9" spans="1:6" x14ac:dyDescent="0.25">
      <c r="A9" s="2" t="s">
        <v>66</v>
      </c>
      <c r="B9" s="2" t="s">
        <v>57</v>
      </c>
      <c r="C9" s="2">
        <v>50</v>
      </c>
      <c r="D9" s="2">
        <v>46</v>
      </c>
      <c r="E9" s="3">
        <v>66783</v>
      </c>
      <c r="F9" s="2" t="str">
        <f t="shared" si="0"/>
        <v>NORMAL</v>
      </c>
    </row>
    <row r="10" spans="1:6" x14ac:dyDescent="0.25">
      <c r="A10" s="2" t="s">
        <v>67</v>
      </c>
      <c r="B10" s="2" t="s">
        <v>57</v>
      </c>
      <c r="C10" s="2">
        <v>103</v>
      </c>
      <c r="D10" s="2">
        <v>19</v>
      </c>
      <c r="E10" s="3">
        <v>16218</v>
      </c>
      <c r="F10" s="2" t="str">
        <f t="shared" si="0"/>
        <v>OVERSTOCK</v>
      </c>
    </row>
    <row r="11" spans="1:6" x14ac:dyDescent="0.25">
      <c r="A11" s="2" t="s">
        <v>68</v>
      </c>
      <c r="B11" s="2" t="s">
        <v>59</v>
      </c>
      <c r="C11" s="2">
        <v>3</v>
      </c>
      <c r="D11" s="2">
        <v>35</v>
      </c>
      <c r="E11" s="3">
        <v>53678</v>
      </c>
      <c r="F11" s="2" t="str">
        <f t="shared" si="0"/>
        <v>REORDER</v>
      </c>
    </row>
    <row r="12" spans="1:6" x14ac:dyDescent="0.25">
      <c r="A12" s="2" t="s">
        <v>69</v>
      </c>
      <c r="B12" s="2" t="s">
        <v>58</v>
      </c>
      <c r="C12" s="2">
        <v>100</v>
      </c>
      <c r="D12" s="2">
        <v>33</v>
      </c>
      <c r="E12" s="3">
        <v>19886</v>
      </c>
      <c r="F12" s="2" t="str">
        <f t="shared" si="0"/>
        <v>NORMAL</v>
      </c>
    </row>
    <row r="13" spans="1:6" x14ac:dyDescent="0.25">
      <c r="A13" s="2" t="s">
        <v>70</v>
      </c>
      <c r="B13" s="2" t="s">
        <v>57</v>
      </c>
      <c r="C13" s="2">
        <v>119</v>
      </c>
      <c r="D13" s="2">
        <v>20</v>
      </c>
      <c r="E13" s="3">
        <v>54260</v>
      </c>
      <c r="F13" s="2" t="str">
        <f t="shared" si="0"/>
        <v>OVERSTOCK</v>
      </c>
    </row>
    <row r="14" spans="1:6" x14ac:dyDescent="0.25">
      <c r="A14" s="2" t="s">
        <v>71</v>
      </c>
      <c r="B14" s="2" t="s">
        <v>55</v>
      </c>
      <c r="C14" s="2">
        <v>1</v>
      </c>
      <c r="D14" s="2">
        <v>45</v>
      </c>
      <c r="E14" s="3">
        <v>73204</v>
      </c>
      <c r="F14" s="2" t="str">
        <f t="shared" si="0"/>
        <v>REORDER</v>
      </c>
    </row>
    <row r="15" spans="1:6" x14ac:dyDescent="0.25">
      <c r="A15" s="2" t="s">
        <v>72</v>
      </c>
      <c r="B15" s="2" t="s">
        <v>59</v>
      </c>
      <c r="C15" s="2">
        <v>142</v>
      </c>
      <c r="D15" s="2">
        <v>49</v>
      </c>
      <c r="E15" s="3">
        <v>5942</v>
      </c>
      <c r="F15" s="2" t="str">
        <f t="shared" si="0"/>
        <v>NORMAL</v>
      </c>
    </row>
    <row r="16" spans="1:6" x14ac:dyDescent="0.25">
      <c r="A16" s="2" t="s">
        <v>73</v>
      </c>
      <c r="B16" s="2" t="s">
        <v>57</v>
      </c>
      <c r="C16" s="2">
        <v>28</v>
      </c>
      <c r="D16" s="2">
        <v>30</v>
      </c>
      <c r="E16" s="3">
        <v>40485</v>
      </c>
      <c r="F16" s="2" t="str">
        <f t="shared" si="0"/>
        <v>REORDER</v>
      </c>
    </row>
    <row r="17" spans="1:6" x14ac:dyDescent="0.25">
      <c r="A17" s="2" t="s">
        <v>74</v>
      </c>
      <c r="B17" s="2" t="s">
        <v>59</v>
      </c>
      <c r="C17" s="2">
        <v>82</v>
      </c>
      <c r="D17" s="2">
        <v>34</v>
      </c>
      <c r="E17" s="3">
        <v>96406</v>
      </c>
      <c r="F17" s="2" t="str">
        <f t="shared" si="0"/>
        <v>NORMAL</v>
      </c>
    </row>
    <row r="18" spans="1:6" x14ac:dyDescent="0.25">
      <c r="A18" s="2" t="s">
        <v>75</v>
      </c>
      <c r="B18" s="2" t="s">
        <v>56</v>
      </c>
      <c r="C18" s="2">
        <v>127</v>
      </c>
      <c r="D18" s="2">
        <v>38</v>
      </c>
      <c r="E18" s="3">
        <v>24396</v>
      </c>
      <c r="F18" s="2" t="str">
        <f t="shared" si="0"/>
        <v>NORMAL</v>
      </c>
    </row>
    <row r="19" spans="1:6" x14ac:dyDescent="0.25">
      <c r="A19" s="2" t="s">
        <v>70</v>
      </c>
      <c r="B19" s="2" t="s">
        <v>57</v>
      </c>
      <c r="C19" s="2">
        <v>47</v>
      </c>
      <c r="D19" s="2">
        <v>48</v>
      </c>
      <c r="E19" s="3">
        <v>86884</v>
      </c>
      <c r="F19" s="2" t="str">
        <f t="shared" si="0"/>
        <v>REORDER</v>
      </c>
    </row>
    <row r="20" spans="1:6" x14ac:dyDescent="0.25">
      <c r="A20" s="2" t="s">
        <v>74</v>
      </c>
      <c r="B20" s="2" t="s">
        <v>59</v>
      </c>
      <c r="C20" s="2">
        <v>62</v>
      </c>
      <c r="D20" s="2">
        <v>25</v>
      </c>
      <c r="E20" s="3">
        <v>67505</v>
      </c>
      <c r="F20" s="2" t="str">
        <f t="shared" si="0"/>
        <v>NORMAL</v>
      </c>
    </row>
    <row r="21" spans="1:6" x14ac:dyDescent="0.25">
      <c r="A21" s="2" t="s">
        <v>71</v>
      </c>
      <c r="B21" s="2" t="s">
        <v>55</v>
      </c>
      <c r="C21" s="2">
        <v>42</v>
      </c>
      <c r="D21" s="2">
        <v>22</v>
      </c>
      <c r="E21" s="3">
        <v>41972</v>
      </c>
      <c r="F21" s="2" t="str">
        <f t="shared" si="0"/>
        <v>NORMAL</v>
      </c>
    </row>
    <row r="22" spans="1:6" x14ac:dyDescent="0.25">
      <c r="A22" s="2" t="s">
        <v>76</v>
      </c>
      <c r="B22" s="2" t="s">
        <v>55</v>
      </c>
      <c r="C22" s="2">
        <v>108</v>
      </c>
      <c r="D22" s="2">
        <v>26</v>
      </c>
      <c r="E22" s="3">
        <v>87371</v>
      </c>
      <c r="F22" s="2" t="str">
        <f t="shared" si="0"/>
        <v>NORMAL</v>
      </c>
    </row>
    <row r="23" spans="1:6" x14ac:dyDescent="0.25">
      <c r="A23" s="2" t="s">
        <v>70</v>
      </c>
      <c r="B23" s="2" t="s">
        <v>57</v>
      </c>
      <c r="C23" s="2">
        <v>68</v>
      </c>
      <c r="D23" s="2">
        <v>30</v>
      </c>
      <c r="E23" s="3">
        <v>40785</v>
      </c>
      <c r="F23" s="2" t="str">
        <f t="shared" si="0"/>
        <v>NORMAL</v>
      </c>
    </row>
    <row r="24" spans="1:6" x14ac:dyDescent="0.25">
      <c r="A24" s="2" t="s">
        <v>69</v>
      </c>
      <c r="B24" s="2" t="s">
        <v>58</v>
      </c>
      <c r="C24" s="2">
        <v>140</v>
      </c>
      <c r="D24" s="2">
        <v>29</v>
      </c>
      <c r="E24" s="3">
        <v>97972</v>
      </c>
      <c r="F24" s="2" t="str">
        <f t="shared" si="0"/>
        <v>NORMAL</v>
      </c>
    </row>
    <row r="25" spans="1:6" x14ac:dyDescent="0.25">
      <c r="A25" s="2" t="s">
        <v>77</v>
      </c>
      <c r="B25" s="2" t="s">
        <v>59</v>
      </c>
      <c r="C25" s="2">
        <v>92</v>
      </c>
      <c r="D25" s="2">
        <v>34</v>
      </c>
      <c r="E25" s="3">
        <v>92327</v>
      </c>
      <c r="F25" s="2" t="str">
        <f t="shared" si="0"/>
        <v>NORMAL</v>
      </c>
    </row>
    <row r="26" spans="1:6" x14ac:dyDescent="0.25">
      <c r="A26" s="2" t="s">
        <v>78</v>
      </c>
      <c r="B26" s="2" t="s">
        <v>58</v>
      </c>
      <c r="C26" s="2">
        <v>65</v>
      </c>
      <c r="D26" s="2">
        <v>28</v>
      </c>
      <c r="E26" s="3">
        <v>33197</v>
      </c>
      <c r="F26" s="2" t="str">
        <f t="shared" si="0"/>
        <v>NORMAL</v>
      </c>
    </row>
    <row r="27" spans="1:6" x14ac:dyDescent="0.25">
      <c r="A27" s="2" t="s">
        <v>79</v>
      </c>
      <c r="B27" s="2" t="s">
        <v>59</v>
      </c>
      <c r="C27" s="2">
        <v>69</v>
      </c>
      <c r="D27" s="2">
        <v>33</v>
      </c>
      <c r="E27" s="3">
        <v>72419</v>
      </c>
      <c r="F27" s="2" t="str">
        <f t="shared" si="0"/>
        <v>NORMAL</v>
      </c>
    </row>
    <row r="28" spans="1:6" x14ac:dyDescent="0.25">
      <c r="A28" s="2" t="s">
        <v>70</v>
      </c>
      <c r="B28" s="2" t="s">
        <v>57</v>
      </c>
      <c r="C28" s="2">
        <v>100</v>
      </c>
      <c r="D28" s="2">
        <v>42</v>
      </c>
      <c r="E28" s="3">
        <v>90431</v>
      </c>
      <c r="F28" s="2" t="str">
        <f t="shared" si="0"/>
        <v>NORMAL</v>
      </c>
    </row>
    <row r="29" spans="1:6" x14ac:dyDescent="0.25">
      <c r="A29" s="2" t="s">
        <v>80</v>
      </c>
      <c r="B29" s="2" t="s">
        <v>58</v>
      </c>
      <c r="C29" s="2">
        <v>130</v>
      </c>
      <c r="D29" s="2">
        <v>37</v>
      </c>
      <c r="E29" s="3">
        <v>6677</v>
      </c>
      <c r="F29" s="2" t="str">
        <f t="shared" si="0"/>
        <v>NORMAL</v>
      </c>
    </row>
    <row r="30" spans="1:6" x14ac:dyDescent="0.25">
      <c r="A30" s="2" t="s">
        <v>81</v>
      </c>
      <c r="B30" s="2" t="s">
        <v>55</v>
      </c>
      <c r="C30" s="2">
        <v>106</v>
      </c>
      <c r="D30" s="2">
        <v>32</v>
      </c>
      <c r="E30" s="3">
        <v>45900</v>
      </c>
      <c r="F30" s="2" t="str">
        <f t="shared" si="0"/>
        <v>NORMAL</v>
      </c>
    </row>
    <row r="31" spans="1:6" x14ac:dyDescent="0.25">
      <c r="A31" s="2" t="s">
        <v>82</v>
      </c>
      <c r="B31" s="2" t="s">
        <v>59</v>
      </c>
      <c r="C31" s="2">
        <v>102</v>
      </c>
      <c r="D31" s="2">
        <v>15</v>
      </c>
      <c r="E31" s="3">
        <v>65114</v>
      </c>
      <c r="F31" s="2" t="str">
        <f t="shared" si="0"/>
        <v>OVERSTOCK</v>
      </c>
    </row>
    <row r="32" spans="1:6" x14ac:dyDescent="0.25">
      <c r="A32" s="2" t="s">
        <v>82</v>
      </c>
      <c r="B32" s="2" t="s">
        <v>59</v>
      </c>
      <c r="C32" s="2">
        <v>10</v>
      </c>
      <c r="D32" s="2">
        <v>17</v>
      </c>
      <c r="E32" s="3">
        <v>71424</v>
      </c>
      <c r="F32" s="2" t="str">
        <f t="shared" si="0"/>
        <v>REORDER</v>
      </c>
    </row>
    <row r="33" spans="1:6" x14ac:dyDescent="0.25">
      <c r="A33" s="2" t="s">
        <v>78</v>
      </c>
      <c r="B33" s="2" t="s">
        <v>58</v>
      </c>
      <c r="C33" s="2">
        <v>92</v>
      </c>
      <c r="D33" s="2">
        <v>11</v>
      </c>
      <c r="E33" s="3">
        <v>63282</v>
      </c>
      <c r="F33" s="2" t="str">
        <f t="shared" si="0"/>
        <v>OVERSTOCK</v>
      </c>
    </row>
    <row r="34" spans="1:6" x14ac:dyDescent="0.25">
      <c r="A34" s="2" t="s">
        <v>83</v>
      </c>
      <c r="B34" s="2" t="s">
        <v>55</v>
      </c>
      <c r="C34" s="2">
        <v>102</v>
      </c>
      <c r="D34" s="2">
        <v>12</v>
      </c>
      <c r="E34" s="3">
        <v>78757</v>
      </c>
      <c r="F34" s="2" t="str">
        <f t="shared" si="0"/>
        <v>OVERSTOCK</v>
      </c>
    </row>
    <row r="35" spans="1:6" x14ac:dyDescent="0.25">
      <c r="A35" s="2" t="s">
        <v>84</v>
      </c>
      <c r="B35" s="2" t="s">
        <v>56</v>
      </c>
      <c r="C35" s="2">
        <v>130</v>
      </c>
      <c r="D35" s="2">
        <v>32</v>
      </c>
      <c r="E35" s="3">
        <v>68860</v>
      </c>
      <c r="F35" s="2" t="str">
        <f t="shared" si="0"/>
        <v>NORMAL</v>
      </c>
    </row>
    <row r="36" spans="1:6" x14ac:dyDescent="0.25">
      <c r="A36" s="2" t="s">
        <v>77</v>
      </c>
      <c r="B36" s="2" t="s">
        <v>59</v>
      </c>
      <c r="C36" s="2">
        <v>78</v>
      </c>
      <c r="D36" s="2">
        <v>47</v>
      </c>
      <c r="E36" s="3">
        <v>95183</v>
      </c>
      <c r="F36" s="2" t="str">
        <f t="shared" si="0"/>
        <v>NORMAL</v>
      </c>
    </row>
    <row r="37" spans="1:6" x14ac:dyDescent="0.25">
      <c r="A37" s="2" t="s">
        <v>85</v>
      </c>
      <c r="B37" s="2" t="s">
        <v>55</v>
      </c>
      <c r="C37" s="2">
        <v>111</v>
      </c>
      <c r="D37" s="2">
        <v>23</v>
      </c>
      <c r="E37" s="3">
        <v>36630</v>
      </c>
      <c r="F37" s="2" t="str">
        <f t="shared" si="0"/>
        <v>NORMAL</v>
      </c>
    </row>
    <row r="38" spans="1:6" x14ac:dyDescent="0.25">
      <c r="A38" s="2" t="s">
        <v>85</v>
      </c>
      <c r="B38" s="2" t="s">
        <v>55</v>
      </c>
      <c r="C38" s="2">
        <v>73</v>
      </c>
      <c r="D38" s="2">
        <v>24</v>
      </c>
      <c r="E38" s="3">
        <v>95228</v>
      </c>
      <c r="F38" s="2" t="str">
        <f t="shared" si="0"/>
        <v>NORMAL</v>
      </c>
    </row>
    <row r="39" spans="1:6" x14ac:dyDescent="0.25">
      <c r="A39" s="2" t="s">
        <v>77</v>
      </c>
      <c r="B39" s="2" t="s">
        <v>59</v>
      </c>
      <c r="C39" s="2">
        <v>116</v>
      </c>
      <c r="D39" s="2">
        <v>11</v>
      </c>
      <c r="E39" s="3">
        <v>16745</v>
      </c>
      <c r="F39" s="2" t="str">
        <f t="shared" si="0"/>
        <v>OVERSTOCK</v>
      </c>
    </row>
    <row r="40" spans="1:6" x14ac:dyDescent="0.25">
      <c r="A40" s="2" t="s">
        <v>73</v>
      </c>
      <c r="B40" s="2" t="s">
        <v>57</v>
      </c>
      <c r="C40" s="2">
        <v>135</v>
      </c>
      <c r="D40" s="2">
        <v>25</v>
      </c>
      <c r="E40" s="3">
        <v>29670</v>
      </c>
      <c r="F40" s="2" t="str">
        <f t="shared" si="0"/>
        <v>OVERSTOCK</v>
      </c>
    </row>
    <row r="41" spans="1:6" x14ac:dyDescent="0.25">
      <c r="A41" s="2" t="s">
        <v>84</v>
      </c>
      <c r="B41" s="2" t="s">
        <v>56</v>
      </c>
      <c r="C41" s="2">
        <v>132</v>
      </c>
      <c r="D41" s="2">
        <v>32</v>
      </c>
      <c r="E41" s="3">
        <v>54663</v>
      </c>
      <c r="F41" s="2" t="str">
        <f t="shared" si="0"/>
        <v>NORMAL</v>
      </c>
    </row>
    <row r="42" spans="1:6" x14ac:dyDescent="0.25">
      <c r="A42" s="2" t="s">
        <v>86</v>
      </c>
      <c r="B42" s="2" t="s">
        <v>57</v>
      </c>
      <c r="C42" s="2">
        <v>135</v>
      </c>
      <c r="D42" s="2">
        <v>11</v>
      </c>
      <c r="E42" s="3">
        <v>10675</v>
      </c>
      <c r="F42" s="2" t="str">
        <f t="shared" si="0"/>
        <v>OVERSTOCK</v>
      </c>
    </row>
    <row r="43" spans="1:6" x14ac:dyDescent="0.25">
      <c r="A43" s="2" t="s">
        <v>87</v>
      </c>
      <c r="B43" s="2" t="s">
        <v>56</v>
      </c>
      <c r="C43" s="2">
        <v>67</v>
      </c>
      <c r="D43" s="2">
        <v>28</v>
      </c>
      <c r="E43" s="3">
        <v>86716</v>
      </c>
      <c r="F43" s="2" t="str">
        <f t="shared" si="0"/>
        <v>NORMAL</v>
      </c>
    </row>
    <row r="44" spans="1:6" x14ac:dyDescent="0.25">
      <c r="A44" s="2" t="s">
        <v>86</v>
      </c>
      <c r="B44" s="2" t="s">
        <v>57</v>
      </c>
      <c r="C44" s="2">
        <v>94</v>
      </c>
      <c r="D44" s="2">
        <v>26</v>
      </c>
      <c r="E44" s="3">
        <v>57512</v>
      </c>
      <c r="F44" s="2" t="str">
        <f t="shared" si="0"/>
        <v>NORMAL</v>
      </c>
    </row>
    <row r="45" spans="1:6" x14ac:dyDescent="0.25">
      <c r="A45" s="2" t="s">
        <v>83</v>
      </c>
      <c r="B45" s="2" t="s">
        <v>55</v>
      </c>
      <c r="C45" s="2">
        <v>114</v>
      </c>
      <c r="D45" s="2">
        <v>42</v>
      </c>
      <c r="E45" s="3">
        <v>66011</v>
      </c>
      <c r="F45" s="2" t="str">
        <f t="shared" si="0"/>
        <v>NORMAL</v>
      </c>
    </row>
    <row r="46" spans="1:6" x14ac:dyDescent="0.25">
      <c r="A46" s="2" t="s">
        <v>73</v>
      </c>
      <c r="B46" s="2" t="s">
        <v>57</v>
      </c>
      <c r="C46" s="2">
        <v>53</v>
      </c>
      <c r="D46" s="2">
        <v>38</v>
      </c>
      <c r="E46" s="3">
        <v>90228</v>
      </c>
      <c r="F46" s="2" t="str">
        <f t="shared" si="0"/>
        <v>NORMAL</v>
      </c>
    </row>
    <row r="47" spans="1:6" x14ac:dyDescent="0.25">
      <c r="A47" s="2" t="s">
        <v>84</v>
      </c>
      <c r="B47" s="2" t="s">
        <v>56</v>
      </c>
      <c r="C47" s="2">
        <v>85</v>
      </c>
      <c r="D47" s="2">
        <v>25</v>
      </c>
      <c r="E47" s="3">
        <v>8737</v>
      </c>
      <c r="F47" s="2" t="str">
        <f t="shared" si="0"/>
        <v>NORMAL</v>
      </c>
    </row>
    <row r="48" spans="1:6" x14ac:dyDescent="0.25">
      <c r="A48" s="2" t="s">
        <v>73</v>
      </c>
      <c r="B48" s="2" t="s">
        <v>57</v>
      </c>
      <c r="C48" s="2">
        <v>89</v>
      </c>
      <c r="D48" s="2">
        <v>32</v>
      </c>
      <c r="E48" s="3">
        <v>96000</v>
      </c>
      <c r="F48" s="2" t="str">
        <f t="shared" si="0"/>
        <v>NORMAL</v>
      </c>
    </row>
    <row r="49" spans="1:6" x14ac:dyDescent="0.25">
      <c r="A49" s="2" t="s">
        <v>75</v>
      </c>
      <c r="B49" s="2" t="s">
        <v>56</v>
      </c>
      <c r="C49" s="2">
        <v>55</v>
      </c>
      <c r="D49" s="2">
        <v>46</v>
      </c>
      <c r="E49" s="3">
        <v>76930</v>
      </c>
      <c r="F49" s="2" t="str">
        <f t="shared" si="0"/>
        <v>NORMAL</v>
      </c>
    </row>
    <row r="50" spans="1:6" x14ac:dyDescent="0.25">
      <c r="A50" s="2" t="s">
        <v>88</v>
      </c>
      <c r="B50" s="2" t="s">
        <v>58</v>
      </c>
      <c r="C50" s="2">
        <v>138</v>
      </c>
      <c r="D50" s="2">
        <v>48</v>
      </c>
      <c r="E50" s="3">
        <v>49043</v>
      </c>
      <c r="F50" s="2" t="str">
        <f t="shared" si="0"/>
        <v>NORMAL</v>
      </c>
    </row>
    <row r="51" spans="1:6" x14ac:dyDescent="0.25">
      <c r="A51" s="2" t="s">
        <v>83</v>
      </c>
      <c r="B51" s="2" t="s">
        <v>55</v>
      </c>
      <c r="C51" s="2">
        <v>39</v>
      </c>
      <c r="D51" s="2">
        <v>33</v>
      </c>
      <c r="E51" s="3">
        <v>82921</v>
      </c>
      <c r="F51" s="2" t="str">
        <f t="shared" si="0"/>
        <v>NORMAL</v>
      </c>
    </row>
  </sheetData>
  <conditionalFormatting sqref="F2:F51">
    <cfRule type="cellIs" dxfId="5" priority="2" operator="equal">
      <formula>"reorder"</formula>
    </cfRule>
    <cfRule type="cellIs" dxfId="4" priority="3" operator="equal">
      <formula>"overstock"</formula>
    </cfRule>
    <cfRule type="cellIs" dxfId="3" priority="4" operator="equal">
      <formula>"normal"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756CB-AC65-4391-826F-AA4ED91D5312}">
  <dimension ref="A1:K51"/>
  <sheetViews>
    <sheetView workbookViewId="0">
      <selection activeCell="J4" sqref="J4:K4"/>
    </sheetView>
  </sheetViews>
  <sheetFormatPr defaultRowHeight="15" x14ac:dyDescent="0.25"/>
  <cols>
    <col min="1" max="1" width="19" customWidth="1"/>
    <col min="2" max="2" width="9.42578125" bestFit="1" customWidth="1"/>
    <col min="3" max="3" width="13.5703125" bestFit="1" customWidth="1"/>
    <col min="4" max="4" width="15.85546875" bestFit="1" customWidth="1"/>
    <col min="5" max="5" width="10.28515625" bestFit="1" customWidth="1"/>
    <col min="6" max="6" width="12.140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89</v>
      </c>
    </row>
    <row r="2" spans="1:11" x14ac:dyDescent="0.25">
      <c r="A2" s="2" t="s">
        <v>60</v>
      </c>
      <c r="B2" s="2" t="s">
        <v>55</v>
      </c>
      <c r="C2" s="2">
        <v>1</v>
      </c>
      <c r="D2" s="2">
        <v>21</v>
      </c>
      <c r="E2" s="3">
        <v>18757</v>
      </c>
      <c r="F2" s="2" t="str">
        <f>IF(C2&gt;0,IF(C2&gt;=D2,IF(C2&lt;D2*5,"NORMAL","OVERSTOCK"),"REORDER"),"OUT OF STOCK")</f>
        <v>REORDER</v>
      </c>
    </row>
    <row r="3" spans="1:11" x14ac:dyDescent="0.25">
      <c r="A3" s="2" t="s">
        <v>61</v>
      </c>
      <c r="B3" s="2" t="s">
        <v>56</v>
      </c>
      <c r="C3" s="2">
        <v>88</v>
      </c>
      <c r="D3" s="2">
        <v>33</v>
      </c>
      <c r="E3" s="3">
        <v>25895</v>
      </c>
      <c r="F3" s="2" t="str">
        <f t="shared" ref="F3:F51" si="0">IF(C3&gt;0,IF(C3&gt;=D3,IF(C3&lt;D3*5,"NORMAL","OVERSTOCK"),"REORDER"),"OUT OF STOCK")</f>
        <v>NORMAL</v>
      </c>
      <c r="H3" s="5" t="s">
        <v>108</v>
      </c>
      <c r="I3" s="5"/>
      <c r="J3" s="5"/>
      <c r="K3" s="5"/>
    </row>
    <row r="4" spans="1:11" x14ac:dyDescent="0.25">
      <c r="A4" s="2" t="s">
        <v>62</v>
      </c>
      <c r="B4" s="2" t="s">
        <v>57</v>
      </c>
      <c r="C4" s="2">
        <v>132</v>
      </c>
      <c r="D4" s="2">
        <v>20</v>
      </c>
      <c r="E4" s="3">
        <v>95738</v>
      </c>
      <c r="F4" s="2" t="str">
        <f t="shared" si="0"/>
        <v>OVERSTOCK</v>
      </c>
      <c r="H4" s="5" t="s">
        <v>106</v>
      </c>
      <c r="I4" s="5"/>
      <c r="J4" s="6">
        <f>COUNTIF(F2:F51,H4)</f>
        <v>8</v>
      </c>
      <c r="K4" s="6"/>
    </row>
    <row r="5" spans="1:11" x14ac:dyDescent="0.25">
      <c r="A5" s="2" t="s">
        <v>63</v>
      </c>
      <c r="B5" s="2" t="s">
        <v>58</v>
      </c>
      <c r="C5" s="2">
        <v>17</v>
      </c>
      <c r="D5" s="2">
        <v>20</v>
      </c>
      <c r="E5" s="3">
        <v>11826</v>
      </c>
      <c r="F5" s="2" t="str">
        <f t="shared" si="0"/>
        <v>REORDER</v>
      </c>
      <c r="H5" s="5" t="s">
        <v>107</v>
      </c>
      <c r="I5" s="5"/>
      <c r="J5" s="6">
        <f>COUNTIF(F3:F52,H5)</f>
        <v>9</v>
      </c>
      <c r="K5" s="6"/>
    </row>
    <row r="6" spans="1:11" x14ac:dyDescent="0.25">
      <c r="A6" s="2" t="s">
        <v>61</v>
      </c>
      <c r="B6" s="2" t="s">
        <v>56</v>
      </c>
      <c r="C6" s="2">
        <v>137</v>
      </c>
      <c r="D6" s="2">
        <v>32</v>
      </c>
      <c r="E6" s="3">
        <v>24543</v>
      </c>
      <c r="F6" s="2" t="str">
        <f t="shared" si="0"/>
        <v>NORMAL</v>
      </c>
    </row>
    <row r="7" spans="1:11" x14ac:dyDescent="0.25">
      <c r="A7" s="2" t="s">
        <v>64</v>
      </c>
      <c r="B7" s="2" t="s">
        <v>59</v>
      </c>
      <c r="C7" s="2">
        <v>8</v>
      </c>
      <c r="D7" s="2">
        <v>15</v>
      </c>
      <c r="E7" s="3">
        <v>89703</v>
      </c>
      <c r="F7" s="2" t="str">
        <f t="shared" si="0"/>
        <v>REORDER</v>
      </c>
    </row>
    <row r="8" spans="1:11" x14ac:dyDescent="0.25">
      <c r="A8" s="2" t="s">
        <v>65</v>
      </c>
      <c r="B8" s="2" t="s">
        <v>57</v>
      </c>
      <c r="C8" s="2">
        <v>17</v>
      </c>
      <c r="D8" s="2">
        <v>17</v>
      </c>
      <c r="E8" s="3">
        <v>45668</v>
      </c>
      <c r="F8" s="2" t="str">
        <f t="shared" si="0"/>
        <v>NORMAL</v>
      </c>
    </row>
    <row r="9" spans="1:11" x14ac:dyDescent="0.25">
      <c r="A9" s="2" t="s">
        <v>66</v>
      </c>
      <c r="B9" s="2" t="s">
        <v>57</v>
      </c>
      <c r="C9" s="2">
        <v>50</v>
      </c>
      <c r="D9" s="2">
        <v>46</v>
      </c>
      <c r="E9" s="3">
        <v>66783</v>
      </c>
      <c r="F9" s="2" t="str">
        <f t="shared" si="0"/>
        <v>NORMAL</v>
      </c>
    </row>
    <row r="10" spans="1:11" x14ac:dyDescent="0.25">
      <c r="A10" s="2" t="s">
        <v>67</v>
      </c>
      <c r="B10" s="2" t="s">
        <v>57</v>
      </c>
      <c r="C10" s="2">
        <v>103</v>
      </c>
      <c r="D10" s="2">
        <v>19</v>
      </c>
      <c r="E10" s="3">
        <v>16218</v>
      </c>
      <c r="F10" s="2" t="str">
        <f t="shared" si="0"/>
        <v>OVERSTOCK</v>
      </c>
    </row>
    <row r="11" spans="1:11" x14ac:dyDescent="0.25">
      <c r="A11" s="2" t="s">
        <v>68</v>
      </c>
      <c r="B11" s="2" t="s">
        <v>59</v>
      </c>
      <c r="C11" s="2">
        <v>3</v>
      </c>
      <c r="D11" s="2">
        <v>35</v>
      </c>
      <c r="E11" s="3">
        <v>53678</v>
      </c>
      <c r="F11" s="2" t="str">
        <f t="shared" si="0"/>
        <v>REORDER</v>
      </c>
    </row>
    <row r="12" spans="1:11" x14ac:dyDescent="0.25">
      <c r="A12" s="2" t="s">
        <v>69</v>
      </c>
      <c r="B12" s="2" t="s">
        <v>58</v>
      </c>
      <c r="C12" s="2">
        <v>100</v>
      </c>
      <c r="D12" s="2">
        <v>33</v>
      </c>
      <c r="E12" s="3">
        <v>19886</v>
      </c>
      <c r="F12" s="2" t="str">
        <f t="shared" si="0"/>
        <v>NORMAL</v>
      </c>
    </row>
    <row r="13" spans="1:11" x14ac:dyDescent="0.25">
      <c r="A13" s="2" t="s">
        <v>70</v>
      </c>
      <c r="B13" s="2" t="s">
        <v>57</v>
      </c>
      <c r="C13" s="2">
        <v>119</v>
      </c>
      <c r="D13" s="2">
        <v>20</v>
      </c>
      <c r="E13" s="3">
        <v>54260</v>
      </c>
      <c r="F13" s="2" t="str">
        <f t="shared" si="0"/>
        <v>OVERSTOCK</v>
      </c>
    </row>
    <row r="14" spans="1:11" x14ac:dyDescent="0.25">
      <c r="A14" s="2" t="s">
        <v>71</v>
      </c>
      <c r="B14" s="2" t="s">
        <v>55</v>
      </c>
      <c r="C14" s="2">
        <v>1</v>
      </c>
      <c r="D14" s="2">
        <v>45</v>
      </c>
      <c r="E14" s="3">
        <v>73204</v>
      </c>
      <c r="F14" s="2" t="str">
        <f t="shared" si="0"/>
        <v>REORDER</v>
      </c>
    </row>
    <row r="15" spans="1:11" x14ac:dyDescent="0.25">
      <c r="A15" s="2" t="s">
        <v>72</v>
      </c>
      <c r="B15" s="2" t="s">
        <v>59</v>
      </c>
      <c r="C15" s="2">
        <v>142</v>
      </c>
      <c r="D15" s="2">
        <v>49</v>
      </c>
      <c r="E15" s="3">
        <v>5942</v>
      </c>
      <c r="F15" s="2" t="str">
        <f t="shared" si="0"/>
        <v>NORMAL</v>
      </c>
    </row>
    <row r="16" spans="1:11" x14ac:dyDescent="0.25">
      <c r="A16" s="2" t="s">
        <v>73</v>
      </c>
      <c r="B16" s="2" t="s">
        <v>57</v>
      </c>
      <c r="C16" s="2">
        <v>28</v>
      </c>
      <c r="D16" s="2">
        <v>30</v>
      </c>
      <c r="E16" s="3">
        <v>40485</v>
      </c>
      <c r="F16" s="2" t="str">
        <f t="shared" si="0"/>
        <v>REORDER</v>
      </c>
    </row>
    <row r="17" spans="1:6" x14ac:dyDescent="0.25">
      <c r="A17" s="2" t="s">
        <v>74</v>
      </c>
      <c r="B17" s="2" t="s">
        <v>59</v>
      </c>
      <c r="C17" s="2">
        <v>82</v>
      </c>
      <c r="D17" s="2">
        <v>34</v>
      </c>
      <c r="E17" s="3">
        <v>96406</v>
      </c>
      <c r="F17" s="2" t="str">
        <f t="shared" si="0"/>
        <v>NORMAL</v>
      </c>
    </row>
    <row r="18" spans="1:6" x14ac:dyDescent="0.25">
      <c r="A18" s="2" t="s">
        <v>75</v>
      </c>
      <c r="B18" s="2" t="s">
        <v>56</v>
      </c>
      <c r="C18" s="2">
        <v>127</v>
      </c>
      <c r="D18" s="2">
        <v>38</v>
      </c>
      <c r="E18" s="3">
        <v>24396</v>
      </c>
      <c r="F18" s="2" t="str">
        <f t="shared" si="0"/>
        <v>NORMAL</v>
      </c>
    </row>
    <row r="19" spans="1:6" x14ac:dyDescent="0.25">
      <c r="A19" s="2" t="s">
        <v>70</v>
      </c>
      <c r="B19" s="2" t="s">
        <v>57</v>
      </c>
      <c r="C19" s="2">
        <v>47</v>
      </c>
      <c r="D19" s="2">
        <v>48</v>
      </c>
      <c r="E19" s="3">
        <v>86884</v>
      </c>
      <c r="F19" s="2" t="str">
        <f t="shared" si="0"/>
        <v>REORDER</v>
      </c>
    </row>
    <row r="20" spans="1:6" x14ac:dyDescent="0.25">
      <c r="A20" s="2" t="s">
        <v>74</v>
      </c>
      <c r="B20" s="2" t="s">
        <v>59</v>
      </c>
      <c r="C20" s="2">
        <v>62</v>
      </c>
      <c r="D20" s="2">
        <v>25</v>
      </c>
      <c r="E20" s="3">
        <v>67505</v>
      </c>
      <c r="F20" s="2" t="str">
        <f t="shared" si="0"/>
        <v>NORMAL</v>
      </c>
    </row>
    <row r="21" spans="1:6" x14ac:dyDescent="0.25">
      <c r="A21" s="2" t="s">
        <v>71</v>
      </c>
      <c r="B21" s="2" t="s">
        <v>55</v>
      </c>
      <c r="C21" s="2">
        <v>42</v>
      </c>
      <c r="D21" s="2">
        <v>22</v>
      </c>
      <c r="E21" s="3">
        <v>41972</v>
      </c>
      <c r="F21" s="2" t="str">
        <f t="shared" si="0"/>
        <v>NORMAL</v>
      </c>
    </row>
    <row r="22" spans="1:6" x14ac:dyDescent="0.25">
      <c r="A22" s="2" t="s">
        <v>76</v>
      </c>
      <c r="B22" s="2" t="s">
        <v>55</v>
      </c>
      <c r="C22" s="2">
        <v>108</v>
      </c>
      <c r="D22" s="2">
        <v>26</v>
      </c>
      <c r="E22" s="3">
        <v>87371</v>
      </c>
      <c r="F22" s="2" t="str">
        <f t="shared" si="0"/>
        <v>NORMAL</v>
      </c>
    </row>
    <row r="23" spans="1:6" x14ac:dyDescent="0.25">
      <c r="A23" s="2" t="s">
        <v>70</v>
      </c>
      <c r="B23" s="2" t="s">
        <v>57</v>
      </c>
      <c r="C23" s="2">
        <v>68</v>
      </c>
      <c r="D23" s="2">
        <v>30</v>
      </c>
      <c r="E23" s="3">
        <v>40785</v>
      </c>
      <c r="F23" s="2" t="str">
        <f t="shared" si="0"/>
        <v>NORMAL</v>
      </c>
    </row>
    <row r="24" spans="1:6" x14ac:dyDescent="0.25">
      <c r="A24" s="2" t="s">
        <v>69</v>
      </c>
      <c r="B24" s="2" t="s">
        <v>58</v>
      </c>
      <c r="C24" s="2">
        <v>140</v>
      </c>
      <c r="D24" s="2">
        <v>29</v>
      </c>
      <c r="E24" s="3">
        <v>97972</v>
      </c>
      <c r="F24" s="2" t="str">
        <f t="shared" si="0"/>
        <v>NORMAL</v>
      </c>
    </row>
    <row r="25" spans="1:6" x14ac:dyDescent="0.25">
      <c r="A25" s="2" t="s">
        <v>77</v>
      </c>
      <c r="B25" s="2" t="s">
        <v>59</v>
      </c>
      <c r="C25" s="2">
        <v>92</v>
      </c>
      <c r="D25" s="2">
        <v>34</v>
      </c>
      <c r="E25" s="3">
        <v>92327</v>
      </c>
      <c r="F25" s="2" t="str">
        <f t="shared" si="0"/>
        <v>NORMAL</v>
      </c>
    </row>
    <row r="26" spans="1:6" x14ac:dyDescent="0.25">
      <c r="A26" s="2" t="s">
        <v>78</v>
      </c>
      <c r="B26" s="2" t="s">
        <v>58</v>
      </c>
      <c r="C26" s="2">
        <v>65</v>
      </c>
      <c r="D26" s="2">
        <v>28</v>
      </c>
      <c r="E26" s="3">
        <v>33197</v>
      </c>
      <c r="F26" s="2" t="str">
        <f t="shared" si="0"/>
        <v>NORMAL</v>
      </c>
    </row>
    <row r="27" spans="1:6" x14ac:dyDescent="0.25">
      <c r="A27" s="2" t="s">
        <v>79</v>
      </c>
      <c r="B27" s="2" t="s">
        <v>59</v>
      </c>
      <c r="C27" s="2">
        <v>69</v>
      </c>
      <c r="D27" s="2">
        <v>33</v>
      </c>
      <c r="E27" s="3">
        <v>72419</v>
      </c>
      <c r="F27" s="2" t="str">
        <f t="shared" si="0"/>
        <v>NORMAL</v>
      </c>
    </row>
    <row r="28" spans="1:6" x14ac:dyDescent="0.25">
      <c r="A28" s="2" t="s">
        <v>70</v>
      </c>
      <c r="B28" s="2" t="s">
        <v>57</v>
      </c>
      <c r="C28" s="2">
        <v>100</v>
      </c>
      <c r="D28" s="2">
        <v>42</v>
      </c>
      <c r="E28" s="3">
        <v>90431</v>
      </c>
      <c r="F28" s="2" t="str">
        <f t="shared" si="0"/>
        <v>NORMAL</v>
      </c>
    </row>
    <row r="29" spans="1:6" x14ac:dyDescent="0.25">
      <c r="A29" s="2" t="s">
        <v>80</v>
      </c>
      <c r="B29" s="2" t="s">
        <v>58</v>
      </c>
      <c r="C29" s="2">
        <v>130</v>
      </c>
      <c r="D29" s="2">
        <v>37</v>
      </c>
      <c r="E29" s="3">
        <v>6677</v>
      </c>
      <c r="F29" s="2" t="str">
        <f t="shared" si="0"/>
        <v>NORMAL</v>
      </c>
    </row>
    <row r="30" spans="1:6" x14ac:dyDescent="0.25">
      <c r="A30" s="2" t="s">
        <v>81</v>
      </c>
      <c r="B30" s="2" t="s">
        <v>55</v>
      </c>
      <c r="C30" s="2">
        <v>106</v>
      </c>
      <c r="D30" s="2">
        <v>32</v>
      </c>
      <c r="E30" s="3">
        <v>45900</v>
      </c>
      <c r="F30" s="2" t="str">
        <f t="shared" si="0"/>
        <v>NORMAL</v>
      </c>
    </row>
    <row r="31" spans="1:6" x14ac:dyDescent="0.25">
      <c r="A31" s="2" t="s">
        <v>82</v>
      </c>
      <c r="B31" s="2" t="s">
        <v>59</v>
      </c>
      <c r="C31" s="2">
        <v>102</v>
      </c>
      <c r="D31" s="2">
        <v>15</v>
      </c>
      <c r="E31" s="3">
        <v>65114</v>
      </c>
      <c r="F31" s="2" t="str">
        <f t="shared" si="0"/>
        <v>OVERSTOCK</v>
      </c>
    </row>
    <row r="32" spans="1:6" x14ac:dyDescent="0.25">
      <c r="A32" s="2" t="s">
        <v>82</v>
      </c>
      <c r="B32" s="2" t="s">
        <v>59</v>
      </c>
      <c r="C32" s="2">
        <v>10</v>
      </c>
      <c r="D32" s="2">
        <v>17</v>
      </c>
      <c r="E32" s="3">
        <v>71424</v>
      </c>
      <c r="F32" s="2" t="str">
        <f t="shared" si="0"/>
        <v>REORDER</v>
      </c>
    </row>
    <row r="33" spans="1:6" x14ac:dyDescent="0.25">
      <c r="A33" s="2" t="s">
        <v>78</v>
      </c>
      <c r="B33" s="2" t="s">
        <v>58</v>
      </c>
      <c r="C33" s="2">
        <v>92</v>
      </c>
      <c r="D33" s="2">
        <v>11</v>
      </c>
      <c r="E33" s="3">
        <v>63282</v>
      </c>
      <c r="F33" s="2" t="str">
        <f t="shared" si="0"/>
        <v>OVERSTOCK</v>
      </c>
    </row>
    <row r="34" spans="1:6" x14ac:dyDescent="0.25">
      <c r="A34" s="2" t="s">
        <v>83</v>
      </c>
      <c r="B34" s="2" t="s">
        <v>55</v>
      </c>
      <c r="C34" s="2">
        <v>102</v>
      </c>
      <c r="D34" s="2">
        <v>12</v>
      </c>
      <c r="E34" s="3">
        <v>78757</v>
      </c>
      <c r="F34" s="2" t="str">
        <f t="shared" si="0"/>
        <v>OVERSTOCK</v>
      </c>
    </row>
    <row r="35" spans="1:6" x14ac:dyDescent="0.25">
      <c r="A35" s="2" t="s">
        <v>84</v>
      </c>
      <c r="B35" s="2" t="s">
        <v>56</v>
      </c>
      <c r="C35" s="2">
        <v>130</v>
      </c>
      <c r="D35" s="2">
        <v>32</v>
      </c>
      <c r="E35" s="3">
        <v>68860</v>
      </c>
      <c r="F35" s="2" t="str">
        <f t="shared" si="0"/>
        <v>NORMAL</v>
      </c>
    </row>
    <row r="36" spans="1:6" x14ac:dyDescent="0.25">
      <c r="A36" s="2" t="s">
        <v>77</v>
      </c>
      <c r="B36" s="2" t="s">
        <v>59</v>
      </c>
      <c r="C36" s="2">
        <v>78</v>
      </c>
      <c r="D36" s="2">
        <v>47</v>
      </c>
      <c r="E36" s="3">
        <v>95183</v>
      </c>
      <c r="F36" s="2" t="str">
        <f t="shared" si="0"/>
        <v>NORMAL</v>
      </c>
    </row>
    <row r="37" spans="1:6" x14ac:dyDescent="0.25">
      <c r="A37" s="2" t="s">
        <v>85</v>
      </c>
      <c r="B37" s="2" t="s">
        <v>55</v>
      </c>
      <c r="C37" s="2">
        <v>111</v>
      </c>
      <c r="D37" s="2">
        <v>23</v>
      </c>
      <c r="E37" s="3">
        <v>36630</v>
      </c>
      <c r="F37" s="2" t="str">
        <f t="shared" si="0"/>
        <v>NORMAL</v>
      </c>
    </row>
    <row r="38" spans="1:6" x14ac:dyDescent="0.25">
      <c r="A38" s="2" t="s">
        <v>85</v>
      </c>
      <c r="B38" s="2" t="s">
        <v>55</v>
      </c>
      <c r="C38" s="2">
        <v>73</v>
      </c>
      <c r="D38" s="2">
        <v>24</v>
      </c>
      <c r="E38" s="3">
        <v>95228</v>
      </c>
      <c r="F38" s="2" t="str">
        <f t="shared" si="0"/>
        <v>NORMAL</v>
      </c>
    </row>
    <row r="39" spans="1:6" x14ac:dyDescent="0.25">
      <c r="A39" s="2" t="s">
        <v>77</v>
      </c>
      <c r="B39" s="2" t="s">
        <v>59</v>
      </c>
      <c r="C39" s="2">
        <v>116</v>
      </c>
      <c r="D39" s="2">
        <v>11</v>
      </c>
      <c r="E39" s="3">
        <v>16745</v>
      </c>
      <c r="F39" s="2" t="str">
        <f t="shared" si="0"/>
        <v>OVERSTOCK</v>
      </c>
    </row>
    <row r="40" spans="1:6" x14ac:dyDescent="0.25">
      <c r="A40" s="2" t="s">
        <v>73</v>
      </c>
      <c r="B40" s="2" t="s">
        <v>57</v>
      </c>
      <c r="C40" s="2">
        <v>135</v>
      </c>
      <c r="D40" s="2">
        <v>25</v>
      </c>
      <c r="E40" s="3">
        <v>29670</v>
      </c>
      <c r="F40" s="2" t="str">
        <f t="shared" si="0"/>
        <v>OVERSTOCK</v>
      </c>
    </row>
    <row r="41" spans="1:6" x14ac:dyDescent="0.25">
      <c r="A41" s="2" t="s">
        <v>84</v>
      </c>
      <c r="B41" s="2" t="s">
        <v>56</v>
      </c>
      <c r="C41" s="2">
        <v>132</v>
      </c>
      <c r="D41" s="2">
        <v>32</v>
      </c>
      <c r="E41" s="3">
        <v>54663</v>
      </c>
      <c r="F41" s="2" t="str">
        <f t="shared" si="0"/>
        <v>NORMAL</v>
      </c>
    </row>
    <row r="42" spans="1:6" x14ac:dyDescent="0.25">
      <c r="A42" s="2" t="s">
        <v>86</v>
      </c>
      <c r="B42" s="2" t="s">
        <v>57</v>
      </c>
      <c r="C42" s="2">
        <v>135</v>
      </c>
      <c r="D42" s="2">
        <v>11</v>
      </c>
      <c r="E42" s="3">
        <v>10675</v>
      </c>
      <c r="F42" s="2" t="str">
        <f t="shared" si="0"/>
        <v>OVERSTOCK</v>
      </c>
    </row>
    <row r="43" spans="1:6" x14ac:dyDescent="0.25">
      <c r="A43" s="2" t="s">
        <v>87</v>
      </c>
      <c r="B43" s="2" t="s">
        <v>56</v>
      </c>
      <c r="C43" s="2">
        <v>67</v>
      </c>
      <c r="D43" s="2">
        <v>28</v>
      </c>
      <c r="E43" s="3">
        <v>86716</v>
      </c>
      <c r="F43" s="2" t="str">
        <f t="shared" si="0"/>
        <v>NORMAL</v>
      </c>
    </row>
    <row r="44" spans="1:6" x14ac:dyDescent="0.25">
      <c r="A44" s="2" t="s">
        <v>86</v>
      </c>
      <c r="B44" s="2" t="s">
        <v>57</v>
      </c>
      <c r="C44" s="2">
        <v>94</v>
      </c>
      <c r="D44" s="2">
        <v>26</v>
      </c>
      <c r="E44" s="3">
        <v>57512</v>
      </c>
      <c r="F44" s="2" t="str">
        <f t="shared" si="0"/>
        <v>NORMAL</v>
      </c>
    </row>
    <row r="45" spans="1:6" x14ac:dyDescent="0.25">
      <c r="A45" s="2" t="s">
        <v>83</v>
      </c>
      <c r="B45" s="2" t="s">
        <v>55</v>
      </c>
      <c r="C45" s="2">
        <v>114</v>
      </c>
      <c r="D45" s="2">
        <v>42</v>
      </c>
      <c r="E45" s="3">
        <v>66011</v>
      </c>
      <c r="F45" s="2" t="str">
        <f t="shared" si="0"/>
        <v>NORMAL</v>
      </c>
    </row>
    <row r="46" spans="1:6" x14ac:dyDescent="0.25">
      <c r="A46" s="2" t="s">
        <v>73</v>
      </c>
      <c r="B46" s="2" t="s">
        <v>57</v>
      </c>
      <c r="C46" s="2">
        <v>53</v>
      </c>
      <c r="D46" s="2">
        <v>38</v>
      </c>
      <c r="E46" s="3">
        <v>90228</v>
      </c>
      <c r="F46" s="2" t="str">
        <f t="shared" si="0"/>
        <v>NORMAL</v>
      </c>
    </row>
    <row r="47" spans="1:6" x14ac:dyDescent="0.25">
      <c r="A47" s="2" t="s">
        <v>84</v>
      </c>
      <c r="B47" s="2" t="s">
        <v>56</v>
      </c>
      <c r="C47" s="2">
        <v>85</v>
      </c>
      <c r="D47" s="2">
        <v>25</v>
      </c>
      <c r="E47" s="3">
        <v>8737</v>
      </c>
      <c r="F47" s="2" t="str">
        <f t="shared" si="0"/>
        <v>NORMAL</v>
      </c>
    </row>
    <row r="48" spans="1:6" x14ac:dyDescent="0.25">
      <c r="A48" s="2" t="s">
        <v>73</v>
      </c>
      <c r="B48" s="2" t="s">
        <v>57</v>
      </c>
      <c r="C48" s="2">
        <v>89</v>
      </c>
      <c r="D48" s="2">
        <v>32</v>
      </c>
      <c r="E48" s="3">
        <v>96000</v>
      </c>
      <c r="F48" s="2" t="str">
        <f t="shared" si="0"/>
        <v>NORMAL</v>
      </c>
    </row>
    <row r="49" spans="1:6" x14ac:dyDescent="0.25">
      <c r="A49" s="2" t="s">
        <v>75</v>
      </c>
      <c r="B49" s="2" t="s">
        <v>56</v>
      </c>
      <c r="C49" s="2">
        <v>55</v>
      </c>
      <c r="D49" s="2">
        <v>46</v>
      </c>
      <c r="E49" s="3">
        <v>76930</v>
      </c>
      <c r="F49" s="2" t="str">
        <f t="shared" si="0"/>
        <v>NORMAL</v>
      </c>
    </row>
    <row r="50" spans="1:6" x14ac:dyDescent="0.25">
      <c r="A50" s="2" t="s">
        <v>88</v>
      </c>
      <c r="B50" s="2" t="s">
        <v>58</v>
      </c>
      <c r="C50" s="2">
        <v>138</v>
      </c>
      <c r="D50" s="2">
        <v>48</v>
      </c>
      <c r="E50" s="3">
        <v>49043</v>
      </c>
      <c r="F50" s="2" t="str">
        <f t="shared" si="0"/>
        <v>NORMAL</v>
      </c>
    </row>
    <row r="51" spans="1:6" x14ac:dyDescent="0.25">
      <c r="A51" s="2" t="s">
        <v>83</v>
      </c>
      <c r="B51" s="2" t="s">
        <v>55</v>
      </c>
      <c r="C51" s="2">
        <v>39</v>
      </c>
      <c r="D51" s="2">
        <v>33</v>
      </c>
      <c r="E51" s="3">
        <v>82921</v>
      </c>
      <c r="F51" s="2" t="str">
        <f t="shared" si="0"/>
        <v>NORMAL</v>
      </c>
    </row>
  </sheetData>
  <mergeCells count="5">
    <mergeCell ref="H3:K3"/>
    <mergeCell ref="H4:I4"/>
    <mergeCell ref="H5:I5"/>
    <mergeCell ref="J4:K4"/>
    <mergeCell ref="J5:K5"/>
  </mergeCells>
  <conditionalFormatting sqref="F2:F51">
    <cfRule type="cellIs" dxfId="2" priority="1" operator="equal">
      <formula>"reorder"</formula>
    </cfRule>
    <cfRule type="cellIs" dxfId="1" priority="2" operator="equal">
      <formula>"overstock"</formula>
    </cfRule>
    <cfRule type="cellIs" dxfId="0" priority="3" operator="equal">
      <formula>"normal"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18256-2EFB-45F5-91F1-9A5FB652BBF3}">
  <dimension ref="B2:B39"/>
  <sheetViews>
    <sheetView tabSelected="1" topLeftCell="A5" zoomScale="115" zoomScaleNormal="115" workbookViewId="0">
      <selection activeCell="F31" sqref="F31"/>
    </sheetView>
  </sheetViews>
  <sheetFormatPr defaultRowHeight="15" x14ac:dyDescent="0.25"/>
  <sheetData>
    <row r="2" spans="2:2" x14ac:dyDescent="0.25">
      <c r="B2" t="s">
        <v>90</v>
      </c>
    </row>
    <row r="3" spans="2:2" x14ac:dyDescent="0.25">
      <c r="B3" t="s">
        <v>91</v>
      </c>
    </row>
    <row r="4" spans="2:2" x14ac:dyDescent="0.25">
      <c r="B4" t="s">
        <v>92</v>
      </c>
    </row>
    <row r="5" spans="2:2" x14ac:dyDescent="0.25">
      <c r="B5" t="s">
        <v>109</v>
      </c>
    </row>
    <row r="6" spans="2:2" x14ac:dyDescent="0.25">
      <c r="B6" t="s">
        <v>93</v>
      </c>
    </row>
    <row r="8" spans="2:2" x14ac:dyDescent="0.25">
      <c r="B8" t="s">
        <v>94</v>
      </c>
    </row>
    <row r="9" spans="2:2" x14ac:dyDescent="0.25">
      <c r="B9" t="s">
        <v>95</v>
      </c>
    </row>
    <row r="10" spans="2:2" x14ac:dyDescent="0.25">
      <c r="B10" s="7" t="s">
        <v>96</v>
      </c>
    </row>
    <row r="11" spans="2:2" x14ac:dyDescent="0.25">
      <c r="B11" s="7" t="s">
        <v>97</v>
      </c>
    </row>
    <row r="12" spans="2:2" x14ac:dyDescent="0.25">
      <c r="B12" s="7" t="s">
        <v>98</v>
      </c>
    </row>
    <row r="14" spans="2:2" x14ac:dyDescent="0.25">
      <c r="B14" t="s">
        <v>99</v>
      </c>
    </row>
    <row r="15" spans="2:2" x14ac:dyDescent="0.25">
      <c r="B15" t="s">
        <v>100</v>
      </c>
    </row>
    <row r="16" spans="2:2" x14ac:dyDescent="0.25">
      <c r="B16" t="s">
        <v>101</v>
      </c>
    </row>
    <row r="17" spans="2:2" x14ac:dyDescent="0.25">
      <c r="B17" t="s">
        <v>102</v>
      </c>
    </row>
    <row r="18" spans="2:2" x14ac:dyDescent="0.25">
      <c r="B18" t="s">
        <v>110</v>
      </c>
    </row>
    <row r="19" spans="2:2" x14ac:dyDescent="0.25">
      <c r="B19" t="s">
        <v>111</v>
      </c>
    </row>
    <row r="20" spans="2:2" x14ac:dyDescent="0.25">
      <c r="B20" t="s">
        <v>112</v>
      </c>
    </row>
    <row r="21" spans="2:2" x14ac:dyDescent="0.25">
      <c r="B21" t="s">
        <v>113</v>
      </c>
    </row>
    <row r="23" spans="2:2" x14ac:dyDescent="0.25">
      <c r="B23" t="s">
        <v>103</v>
      </c>
    </row>
    <row r="24" spans="2:2" x14ac:dyDescent="0.25">
      <c r="B24" t="s">
        <v>104</v>
      </c>
    </row>
    <row r="25" spans="2:2" x14ac:dyDescent="0.25">
      <c r="B25" t="s">
        <v>105</v>
      </c>
    </row>
    <row r="26" spans="2:2" x14ac:dyDescent="0.25">
      <c r="B26" t="s">
        <v>114</v>
      </c>
    </row>
    <row r="27" spans="2:2" x14ac:dyDescent="0.25">
      <c r="B27" t="s">
        <v>115</v>
      </c>
    </row>
    <row r="29" spans="2:2" x14ac:dyDescent="0.25">
      <c r="B29" t="s">
        <v>116</v>
      </c>
    </row>
    <row r="30" spans="2:2" x14ac:dyDescent="0.25">
      <c r="B30" t="s">
        <v>117</v>
      </c>
    </row>
    <row r="31" spans="2:2" x14ac:dyDescent="0.25">
      <c r="B31" s="7" t="s">
        <v>118</v>
      </c>
    </row>
    <row r="32" spans="2:2" x14ac:dyDescent="0.25">
      <c r="B32" s="7" t="s">
        <v>119</v>
      </c>
    </row>
    <row r="33" spans="2:2" x14ac:dyDescent="0.25">
      <c r="B33" t="s">
        <v>120</v>
      </c>
    </row>
    <row r="34" spans="2:2" x14ac:dyDescent="0.25">
      <c r="B34" s="7" t="s">
        <v>118</v>
      </c>
    </row>
    <row r="35" spans="2:2" x14ac:dyDescent="0.25">
      <c r="B35" s="7" t="s">
        <v>121</v>
      </c>
    </row>
    <row r="36" spans="2:2" x14ac:dyDescent="0.25">
      <c r="B36" t="s">
        <v>122</v>
      </c>
    </row>
    <row r="37" spans="2:2" x14ac:dyDescent="0.25">
      <c r="B37" s="7" t="s">
        <v>123</v>
      </c>
    </row>
    <row r="38" spans="2:2" x14ac:dyDescent="0.25">
      <c r="B38" s="7" t="s">
        <v>124</v>
      </c>
    </row>
    <row r="39" spans="2:2" x14ac:dyDescent="0.25">
      <c r="B39" s="7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DataRaw</vt:lpstr>
      <vt:lpstr>DataStatus</vt:lpstr>
      <vt:lpstr>DataCndFrmt</vt:lpstr>
      <vt:lpstr>DataResume</vt:lpstr>
      <vt:lpstr>Penjelasan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LATITUDE</cp:lastModifiedBy>
  <dcterms:created xsi:type="dcterms:W3CDTF">2026-05-28T05:43:20Z</dcterms:created>
  <dcterms:modified xsi:type="dcterms:W3CDTF">2026-05-28T10:43:02Z</dcterms:modified>
</cp:coreProperties>
</file>